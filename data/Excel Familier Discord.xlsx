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dofusMarket\data\"/>
    </mc:Choice>
  </mc:AlternateContent>
  <xr:revisionPtr revIDLastSave="0" documentId="13_ncr:1_{34A9AA8C-12CC-4D86-B13E-F33CBB31A4A3}" xr6:coauthVersionLast="47" xr6:coauthVersionMax="47" xr10:uidLastSave="{00000000-0000-0000-0000-000000000000}"/>
  <bookViews>
    <workbookView xWindow="-120" yWindow="-120" windowWidth="38640" windowHeight="21120" xr2:uid="{F90A8B4C-3665-4923-9800-6AB3F1827EC4}"/>
  </bookViews>
  <sheets>
    <sheet name="all" sheetId="6" r:id="rId1"/>
    <sheet name="Kanigloups" sheetId="1" r:id="rId2"/>
    <sheet name="Kokulte" sheetId="2" r:id="rId3"/>
    <sheet name="Blérodoudou" sheetId="3" r:id="rId4"/>
    <sheet name="Sakochere" sheetId="4" r:id="rId5"/>
  </sheets>
  <definedNames>
    <definedName name="_xlnm._FilterDatabase" localSheetId="1" hidden="1">Kanigloups!#REF!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F203" i="4"/>
  <c r="F202" i="4"/>
  <c r="F201" i="4"/>
  <c r="F200" i="4"/>
  <c r="F196" i="4"/>
  <c r="F195" i="4"/>
  <c r="F194" i="4"/>
  <c r="F193" i="4"/>
  <c r="G193" i="4" s="1"/>
  <c r="F192" i="4"/>
  <c r="G192" i="4" s="1"/>
  <c r="F191" i="4"/>
  <c r="F190" i="4"/>
  <c r="F189" i="4"/>
  <c r="G189" i="4" s="1"/>
  <c r="F188" i="4"/>
  <c r="F187" i="4"/>
  <c r="F186" i="4"/>
  <c r="F185" i="4"/>
  <c r="F184" i="4"/>
  <c r="F180" i="4"/>
  <c r="G179" i="4"/>
  <c r="F179" i="4"/>
  <c r="F178" i="4"/>
  <c r="F177" i="4"/>
  <c r="F176" i="4"/>
  <c r="G176" i="4" s="1"/>
  <c r="F175" i="4"/>
  <c r="F174" i="4"/>
  <c r="F173" i="4"/>
  <c r="F172" i="4"/>
  <c r="F171" i="4"/>
  <c r="F170" i="4"/>
  <c r="F166" i="4"/>
  <c r="G166" i="4" s="1"/>
  <c r="F165" i="4"/>
  <c r="G165" i="4" s="1"/>
  <c r="F162" i="4"/>
  <c r="F161" i="4"/>
  <c r="G161" i="4" s="1"/>
  <c r="F160" i="4"/>
  <c r="G160" i="4" s="1"/>
  <c r="F159" i="4"/>
  <c r="F158" i="4"/>
  <c r="F157" i="4"/>
  <c r="F156" i="4"/>
  <c r="F153" i="4"/>
  <c r="F149" i="4"/>
  <c r="F148" i="4"/>
  <c r="G148" i="4" s="1"/>
  <c r="F147" i="4"/>
  <c r="F146" i="4"/>
  <c r="G145" i="4"/>
  <c r="F145" i="4"/>
  <c r="F144" i="4"/>
  <c r="F143" i="4"/>
  <c r="F142" i="4"/>
  <c r="F141" i="4"/>
  <c r="F140" i="4"/>
  <c r="F139" i="4"/>
  <c r="F138" i="4"/>
  <c r="G138" i="4" s="1"/>
  <c r="F137" i="4"/>
  <c r="F136" i="4"/>
  <c r="F133" i="4"/>
  <c r="G133" i="4" s="1"/>
  <c r="F132" i="4"/>
  <c r="G132" i="4" s="1"/>
  <c r="F131" i="4"/>
  <c r="F130" i="4"/>
  <c r="F129" i="4"/>
  <c r="F128" i="4"/>
  <c r="F127" i="4"/>
  <c r="F126" i="4"/>
  <c r="F125" i="4"/>
  <c r="F124" i="4"/>
  <c r="F123" i="4"/>
  <c r="G123" i="4" s="1"/>
  <c r="F122" i="4"/>
  <c r="G122" i="4" s="1"/>
  <c r="F120" i="4"/>
  <c r="F119" i="4"/>
  <c r="F118" i="4"/>
  <c r="F117" i="4"/>
  <c r="F116" i="4"/>
  <c r="F115" i="4"/>
  <c r="F114" i="4"/>
  <c r="F113" i="4"/>
  <c r="F112" i="4"/>
  <c r="F111" i="4"/>
  <c r="G111" i="4" s="1"/>
  <c r="F110" i="4"/>
  <c r="F109" i="4"/>
  <c r="G109" i="4" s="1"/>
  <c r="F107" i="4"/>
  <c r="F106" i="4"/>
  <c r="F105" i="4"/>
  <c r="F104" i="4"/>
  <c r="F103" i="4"/>
  <c r="F102" i="4"/>
  <c r="F101" i="4"/>
  <c r="F100" i="4"/>
  <c r="G100" i="4" s="1"/>
  <c r="G99" i="4"/>
  <c r="F99" i="4"/>
  <c r="F98" i="4"/>
  <c r="G98" i="4" s="1"/>
  <c r="F97" i="4"/>
  <c r="F96" i="4"/>
  <c r="F94" i="4"/>
  <c r="F93" i="4"/>
  <c r="F92" i="4"/>
  <c r="F91" i="4"/>
  <c r="F90" i="4"/>
  <c r="F89" i="4"/>
  <c r="G89" i="4" s="1"/>
  <c r="F88" i="4"/>
  <c r="G88" i="4" s="1"/>
  <c r="F87" i="4"/>
  <c r="G86" i="4"/>
  <c r="F86" i="4"/>
  <c r="F85" i="4"/>
  <c r="F84" i="4"/>
  <c r="F83" i="4"/>
  <c r="F78" i="4"/>
  <c r="F77" i="4"/>
  <c r="F76" i="4"/>
  <c r="F75" i="4"/>
  <c r="F74" i="4"/>
  <c r="G74" i="4" s="1"/>
  <c r="F73" i="4"/>
  <c r="F69" i="4"/>
  <c r="G69" i="4" s="1"/>
  <c r="F68" i="4"/>
  <c r="G67" i="4"/>
  <c r="F67" i="4"/>
  <c r="F66" i="4"/>
  <c r="F65" i="4"/>
  <c r="F64" i="4"/>
  <c r="F63" i="4"/>
  <c r="F59" i="4"/>
  <c r="F58" i="4"/>
  <c r="F57" i="4"/>
  <c r="F56" i="4"/>
  <c r="G56" i="4" s="1"/>
  <c r="F55" i="4"/>
  <c r="F54" i="4"/>
  <c r="G54" i="4" s="1"/>
  <c r="F50" i="4"/>
  <c r="F49" i="4"/>
  <c r="F48" i="4"/>
  <c r="F47" i="4"/>
  <c r="F46" i="4"/>
  <c r="F42" i="4"/>
  <c r="F41" i="4"/>
  <c r="G41" i="4" s="1"/>
  <c r="F40" i="4"/>
  <c r="F39" i="4"/>
  <c r="F38" i="4"/>
  <c r="G38" i="4" s="1"/>
  <c r="F34" i="4"/>
  <c r="G34" i="4" s="1"/>
  <c r="F33" i="4"/>
  <c r="F32" i="4"/>
  <c r="F31" i="4"/>
  <c r="F30" i="4"/>
  <c r="F29" i="4"/>
  <c r="F25" i="4"/>
  <c r="F24" i="4"/>
  <c r="F23" i="4"/>
  <c r="G23" i="4" s="1"/>
  <c r="F22" i="4"/>
  <c r="F21" i="4"/>
  <c r="G21" i="4" s="1"/>
  <c r="F17" i="4"/>
  <c r="G17" i="4" s="1"/>
  <c r="F16" i="4"/>
  <c r="F15" i="4"/>
  <c r="F14" i="4"/>
  <c r="F13" i="4"/>
  <c r="F9" i="4"/>
  <c r="F8" i="4"/>
  <c r="F7" i="4"/>
  <c r="F6" i="4"/>
  <c r="F203" i="3"/>
  <c r="G203" i="3" s="1"/>
  <c r="F202" i="3"/>
  <c r="G202" i="3" s="1"/>
  <c r="F201" i="3"/>
  <c r="G201" i="3" s="1"/>
  <c r="F200" i="3"/>
  <c r="G200" i="3" s="1"/>
  <c r="G196" i="3"/>
  <c r="F196" i="3"/>
  <c r="F195" i="3"/>
  <c r="G195" i="3" s="1"/>
  <c r="F194" i="3"/>
  <c r="G194" i="3" s="1"/>
  <c r="G193" i="3"/>
  <c r="F193" i="3"/>
  <c r="F192" i="3"/>
  <c r="G192" i="3" s="1"/>
  <c r="F191" i="3"/>
  <c r="G191" i="3" s="1"/>
  <c r="G190" i="3"/>
  <c r="F190" i="3"/>
  <c r="F189" i="3"/>
  <c r="G189" i="3" s="1"/>
  <c r="F188" i="3"/>
  <c r="G188" i="3" s="1"/>
  <c r="G187" i="3"/>
  <c r="F187" i="3"/>
  <c r="F186" i="3"/>
  <c r="G186" i="3" s="1"/>
  <c r="F185" i="3"/>
  <c r="G185" i="3" s="1"/>
  <c r="G184" i="3"/>
  <c r="F184" i="3"/>
  <c r="F180" i="3"/>
  <c r="G180" i="3" s="1"/>
  <c r="F179" i="3"/>
  <c r="G179" i="3" s="1"/>
  <c r="G178" i="3"/>
  <c r="F178" i="3"/>
  <c r="F177" i="3"/>
  <c r="G177" i="3" s="1"/>
  <c r="F176" i="3"/>
  <c r="G176" i="3" s="1"/>
  <c r="G175" i="3"/>
  <c r="F175" i="3"/>
  <c r="F174" i="3"/>
  <c r="G174" i="3" s="1"/>
  <c r="F173" i="3"/>
  <c r="G173" i="3" s="1"/>
  <c r="G172" i="3"/>
  <c r="F172" i="3"/>
  <c r="F171" i="3"/>
  <c r="G171" i="3" s="1"/>
  <c r="F170" i="3"/>
  <c r="G170" i="3" s="1"/>
  <c r="G166" i="3"/>
  <c r="F166" i="3"/>
  <c r="F165" i="3"/>
  <c r="G165" i="3" s="1"/>
  <c r="F162" i="3"/>
  <c r="G162" i="3" s="1"/>
  <c r="G161" i="3"/>
  <c r="F161" i="3"/>
  <c r="F160" i="3"/>
  <c r="G160" i="3" s="1"/>
  <c r="F159" i="3"/>
  <c r="G159" i="3" s="1"/>
  <c r="G158" i="3"/>
  <c r="F158" i="3"/>
  <c r="F157" i="3"/>
  <c r="G157" i="3" s="1"/>
  <c r="F156" i="3"/>
  <c r="G156" i="3" s="1"/>
  <c r="G153" i="3"/>
  <c r="F153" i="3"/>
  <c r="F149" i="3"/>
  <c r="G149" i="3" s="1"/>
  <c r="F148" i="3"/>
  <c r="G148" i="3" s="1"/>
  <c r="G147" i="3"/>
  <c r="F147" i="3"/>
  <c r="F146" i="3"/>
  <c r="G146" i="3" s="1"/>
  <c r="F145" i="3"/>
  <c r="G145" i="3" s="1"/>
  <c r="G144" i="3"/>
  <c r="F144" i="3"/>
  <c r="F143" i="3"/>
  <c r="G143" i="3" s="1"/>
  <c r="F142" i="3"/>
  <c r="G142" i="3" s="1"/>
  <c r="G141" i="3"/>
  <c r="F141" i="3"/>
  <c r="F140" i="3"/>
  <c r="G140" i="3" s="1"/>
  <c r="F139" i="3"/>
  <c r="G139" i="3" s="1"/>
  <c r="G138" i="3"/>
  <c r="F138" i="3"/>
  <c r="F137" i="3"/>
  <c r="G137" i="3" s="1"/>
  <c r="F136" i="3"/>
  <c r="G136" i="3" s="1"/>
  <c r="G133" i="3"/>
  <c r="F133" i="3"/>
  <c r="F132" i="3"/>
  <c r="G132" i="3" s="1"/>
  <c r="F131" i="3"/>
  <c r="G131" i="3" s="1"/>
  <c r="G130" i="3"/>
  <c r="F130" i="3"/>
  <c r="F129" i="3"/>
  <c r="G129" i="3" s="1"/>
  <c r="F128" i="3"/>
  <c r="G128" i="3" s="1"/>
  <c r="G127" i="3"/>
  <c r="F127" i="3"/>
  <c r="F126" i="3"/>
  <c r="G126" i="3" s="1"/>
  <c r="F125" i="3"/>
  <c r="G125" i="3" s="1"/>
  <c r="G124" i="3"/>
  <c r="F124" i="3"/>
  <c r="F123" i="3"/>
  <c r="G123" i="3" s="1"/>
  <c r="F122" i="3"/>
  <c r="G122" i="3" s="1"/>
  <c r="G120" i="3"/>
  <c r="F120" i="3"/>
  <c r="F119" i="3"/>
  <c r="G119" i="3" s="1"/>
  <c r="F118" i="3"/>
  <c r="G118" i="3" s="1"/>
  <c r="G117" i="3"/>
  <c r="F117" i="3"/>
  <c r="F116" i="3"/>
  <c r="G116" i="3" s="1"/>
  <c r="F115" i="3"/>
  <c r="G115" i="3" s="1"/>
  <c r="G114" i="3"/>
  <c r="F114" i="3"/>
  <c r="F113" i="3"/>
  <c r="G113" i="3" s="1"/>
  <c r="F112" i="3"/>
  <c r="G112" i="3" s="1"/>
  <c r="G111" i="3"/>
  <c r="F111" i="3"/>
  <c r="F110" i="3"/>
  <c r="G110" i="3" s="1"/>
  <c r="F109" i="3"/>
  <c r="G109" i="3" s="1"/>
  <c r="G107" i="3"/>
  <c r="F107" i="3"/>
  <c r="F106" i="3"/>
  <c r="G106" i="3" s="1"/>
  <c r="F105" i="3"/>
  <c r="G105" i="3" s="1"/>
  <c r="G104" i="3"/>
  <c r="F104" i="3"/>
  <c r="F103" i="3"/>
  <c r="G103" i="3" s="1"/>
  <c r="F102" i="3"/>
  <c r="G102" i="3" s="1"/>
  <c r="G101" i="3"/>
  <c r="F101" i="3"/>
  <c r="F100" i="3"/>
  <c r="G100" i="3" s="1"/>
  <c r="F99" i="3"/>
  <c r="G99" i="3" s="1"/>
  <c r="G98" i="3"/>
  <c r="F98" i="3"/>
  <c r="F97" i="3"/>
  <c r="G97" i="3" s="1"/>
  <c r="F96" i="3"/>
  <c r="G96" i="3" s="1"/>
  <c r="G94" i="3"/>
  <c r="F94" i="3"/>
  <c r="F93" i="3"/>
  <c r="G93" i="3" s="1"/>
  <c r="F92" i="3"/>
  <c r="G92" i="3" s="1"/>
  <c r="G91" i="3"/>
  <c r="F91" i="3"/>
  <c r="F90" i="3"/>
  <c r="G90" i="3" s="1"/>
  <c r="F89" i="3"/>
  <c r="G89" i="3" s="1"/>
  <c r="G88" i="3"/>
  <c r="F88" i="3"/>
  <c r="F87" i="3"/>
  <c r="G87" i="3" s="1"/>
  <c r="F86" i="3"/>
  <c r="G86" i="3" s="1"/>
  <c r="G85" i="3"/>
  <c r="F85" i="3"/>
  <c r="F84" i="3"/>
  <c r="G84" i="3" s="1"/>
  <c r="F83" i="3"/>
  <c r="G83" i="3" s="1"/>
  <c r="G78" i="3"/>
  <c r="F78" i="3"/>
  <c r="F77" i="3"/>
  <c r="G77" i="3" s="1"/>
  <c r="F76" i="3"/>
  <c r="G76" i="3" s="1"/>
  <c r="G75" i="3"/>
  <c r="F75" i="3"/>
  <c r="F74" i="3"/>
  <c r="G74" i="3" s="1"/>
  <c r="F73" i="3"/>
  <c r="G73" i="3" s="1"/>
  <c r="G69" i="3"/>
  <c r="F69" i="3"/>
  <c r="F68" i="3"/>
  <c r="G68" i="3" s="1"/>
  <c r="F67" i="3"/>
  <c r="G67" i="3" s="1"/>
  <c r="G66" i="3"/>
  <c r="F66" i="3"/>
  <c r="F65" i="3"/>
  <c r="G65" i="3" s="1"/>
  <c r="F64" i="3"/>
  <c r="G64" i="3" s="1"/>
  <c r="G63" i="3"/>
  <c r="F63" i="3"/>
  <c r="F59" i="3"/>
  <c r="G59" i="3" s="1"/>
  <c r="F58" i="3"/>
  <c r="G58" i="3" s="1"/>
  <c r="G57" i="3"/>
  <c r="F57" i="3"/>
  <c r="F56" i="3"/>
  <c r="G56" i="3" s="1"/>
  <c r="F55" i="3"/>
  <c r="G55" i="3" s="1"/>
  <c r="G54" i="3"/>
  <c r="F54" i="3"/>
  <c r="F50" i="3"/>
  <c r="G50" i="3" s="1"/>
  <c r="F49" i="3"/>
  <c r="G49" i="3" s="1"/>
  <c r="G48" i="3"/>
  <c r="F48" i="3"/>
  <c r="F47" i="3"/>
  <c r="G47" i="3" s="1"/>
  <c r="F46" i="3"/>
  <c r="G46" i="3" s="1"/>
  <c r="G42" i="3"/>
  <c r="F42" i="3"/>
  <c r="F41" i="3"/>
  <c r="G41" i="3" s="1"/>
  <c r="F40" i="3"/>
  <c r="G40" i="3" s="1"/>
  <c r="G39" i="3"/>
  <c r="F39" i="3"/>
  <c r="F38" i="3"/>
  <c r="G38" i="3" s="1"/>
  <c r="F34" i="3"/>
  <c r="G34" i="3" s="1"/>
  <c r="G33" i="3"/>
  <c r="F33" i="3"/>
  <c r="F32" i="3"/>
  <c r="G32" i="3" s="1"/>
  <c r="F31" i="3"/>
  <c r="G31" i="3" s="1"/>
  <c r="G30" i="3"/>
  <c r="F30" i="3"/>
  <c r="F29" i="3"/>
  <c r="G29" i="3" s="1"/>
  <c r="F25" i="3"/>
  <c r="G25" i="3" s="1"/>
  <c r="G24" i="3"/>
  <c r="F24" i="3"/>
  <c r="F23" i="3"/>
  <c r="G23" i="3" s="1"/>
  <c r="F22" i="3"/>
  <c r="G22" i="3" s="1"/>
  <c r="G21" i="3"/>
  <c r="F21" i="3"/>
  <c r="F17" i="3"/>
  <c r="G17" i="3" s="1"/>
  <c r="F16" i="3"/>
  <c r="G16" i="3" s="1"/>
  <c r="G15" i="3"/>
  <c r="F15" i="3"/>
  <c r="F14" i="3"/>
  <c r="G14" i="3" s="1"/>
  <c r="F13" i="3"/>
  <c r="G13" i="3" s="1"/>
  <c r="G9" i="3"/>
  <c r="F9" i="3"/>
  <c r="F8" i="3"/>
  <c r="G8" i="3" s="1"/>
  <c r="F7" i="3"/>
  <c r="G7" i="3" s="1"/>
  <c r="G6" i="3"/>
  <c r="F6" i="3"/>
  <c r="F203" i="2"/>
  <c r="G203" i="2" s="1"/>
  <c r="G202" i="2"/>
  <c r="F202" i="2"/>
  <c r="F201" i="2"/>
  <c r="G201" i="2" s="1"/>
  <c r="F200" i="2"/>
  <c r="G200" i="2" s="1"/>
  <c r="G196" i="2"/>
  <c r="F196" i="2"/>
  <c r="G195" i="2"/>
  <c r="F195" i="2"/>
  <c r="F194" i="2"/>
  <c r="G194" i="2" s="1"/>
  <c r="G193" i="2"/>
  <c r="F193" i="2"/>
  <c r="F192" i="2"/>
  <c r="G192" i="2" s="1"/>
  <c r="F191" i="2"/>
  <c r="G191" i="2" s="1"/>
  <c r="G190" i="2"/>
  <c r="F190" i="2"/>
  <c r="G189" i="2"/>
  <c r="F189" i="2"/>
  <c r="F188" i="2"/>
  <c r="G188" i="2" s="1"/>
  <c r="G187" i="2"/>
  <c r="F187" i="2"/>
  <c r="F186" i="2"/>
  <c r="G186" i="2" s="1"/>
  <c r="F185" i="2"/>
  <c r="G185" i="2" s="1"/>
  <c r="G184" i="2"/>
  <c r="F184" i="2"/>
  <c r="G180" i="2"/>
  <c r="F180" i="2"/>
  <c r="F179" i="2"/>
  <c r="G179" i="2" s="1"/>
  <c r="G178" i="2"/>
  <c r="F178" i="2"/>
  <c r="F177" i="2"/>
  <c r="G177" i="2" s="1"/>
  <c r="F176" i="2"/>
  <c r="G176" i="2" s="1"/>
  <c r="G175" i="2"/>
  <c r="F175" i="2"/>
  <c r="G174" i="2"/>
  <c r="F174" i="2"/>
  <c r="F173" i="2"/>
  <c r="G173" i="2" s="1"/>
  <c r="G172" i="2"/>
  <c r="F172" i="2"/>
  <c r="F171" i="2"/>
  <c r="G171" i="2" s="1"/>
  <c r="F170" i="2"/>
  <c r="G170" i="2" s="1"/>
  <c r="G166" i="2"/>
  <c r="F166" i="2"/>
  <c r="G165" i="2"/>
  <c r="F165" i="2"/>
  <c r="F162" i="2"/>
  <c r="G162" i="2" s="1"/>
  <c r="G161" i="2"/>
  <c r="F161" i="2"/>
  <c r="F160" i="2"/>
  <c r="G160" i="2" s="1"/>
  <c r="F159" i="2"/>
  <c r="G159" i="2" s="1"/>
  <c r="G158" i="2"/>
  <c r="F158" i="2"/>
  <c r="G157" i="2"/>
  <c r="F157" i="2"/>
  <c r="F156" i="2"/>
  <c r="G156" i="2" s="1"/>
  <c r="G153" i="2"/>
  <c r="F153" i="2"/>
  <c r="F149" i="2"/>
  <c r="G149" i="2" s="1"/>
  <c r="F148" i="2"/>
  <c r="G148" i="2" s="1"/>
  <c r="G147" i="2"/>
  <c r="F147" i="2"/>
  <c r="G146" i="2"/>
  <c r="F146" i="2"/>
  <c r="F145" i="2"/>
  <c r="G145" i="2" s="1"/>
  <c r="G144" i="2"/>
  <c r="F144" i="2"/>
  <c r="F143" i="2"/>
  <c r="G143" i="2" s="1"/>
  <c r="F142" i="2"/>
  <c r="G142" i="2" s="1"/>
  <c r="G141" i="2"/>
  <c r="F141" i="2"/>
  <c r="G140" i="2"/>
  <c r="F140" i="2"/>
  <c r="F139" i="2"/>
  <c r="G139" i="2" s="1"/>
  <c r="G138" i="2"/>
  <c r="F138" i="2"/>
  <c r="F137" i="2"/>
  <c r="G137" i="2" s="1"/>
  <c r="F136" i="2"/>
  <c r="G136" i="2" s="1"/>
  <c r="G133" i="2"/>
  <c r="F133" i="2"/>
  <c r="G132" i="2"/>
  <c r="F132" i="2"/>
  <c r="F131" i="2"/>
  <c r="G131" i="2" s="1"/>
  <c r="G130" i="2"/>
  <c r="F130" i="2"/>
  <c r="F129" i="2"/>
  <c r="G129" i="2" s="1"/>
  <c r="F128" i="2"/>
  <c r="G128" i="2" s="1"/>
  <c r="G127" i="2"/>
  <c r="F127" i="2"/>
  <c r="G126" i="2"/>
  <c r="F126" i="2"/>
  <c r="F125" i="2"/>
  <c r="G125" i="2" s="1"/>
  <c r="G124" i="2"/>
  <c r="F124" i="2"/>
  <c r="F123" i="2"/>
  <c r="G123" i="2" s="1"/>
  <c r="F122" i="2"/>
  <c r="G122" i="2" s="1"/>
  <c r="G120" i="2"/>
  <c r="F120" i="2"/>
  <c r="G119" i="2"/>
  <c r="F119" i="2"/>
  <c r="F118" i="2"/>
  <c r="G118" i="2" s="1"/>
  <c r="G117" i="2"/>
  <c r="F117" i="2"/>
  <c r="F116" i="2"/>
  <c r="G116" i="2" s="1"/>
  <c r="F115" i="2"/>
  <c r="G115" i="2" s="1"/>
  <c r="G114" i="2"/>
  <c r="F114" i="2"/>
  <c r="G113" i="2"/>
  <c r="F113" i="2"/>
  <c r="F112" i="2"/>
  <c r="G112" i="2" s="1"/>
  <c r="G111" i="2"/>
  <c r="F111" i="2"/>
  <c r="F110" i="2"/>
  <c r="G110" i="2" s="1"/>
  <c r="F109" i="2"/>
  <c r="G109" i="2" s="1"/>
  <c r="G107" i="2"/>
  <c r="F107" i="2"/>
  <c r="G106" i="2"/>
  <c r="F106" i="2"/>
  <c r="F105" i="2"/>
  <c r="G105" i="2" s="1"/>
  <c r="G104" i="2"/>
  <c r="F104" i="2"/>
  <c r="F103" i="2"/>
  <c r="G103" i="2" s="1"/>
  <c r="F102" i="2"/>
  <c r="G102" i="2" s="1"/>
  <c r="G101" i="2"/>
  <c r="F101" i="2"/>
  <c r="G100" i="2"/>
  <c r="F100" i="2"/>
  <c r="F99" i="2"/>
  <c r="G99" i="2" s="1"/>
  <c r="G98" i="2"/>
  <c r="F98" i="2"/>
  <c r="F97" i="2"/>
  <c r="G97" i="2" s="1"/>
  <c r="F96" i="2"/>
  <c r="G96" i="2" s="1"/>
  <c r="G94" i="2"/>
  <c r="F94" i="2"/>
  <c r="G93" i="2"/>
  <c r="F93" i="2"/>
  <c r="F92" i="2"/>
  <c r="G92" i="2" s="1"/>
  <c r="G91" i="2"/>
  <c r="F91" i="2"/>
  <c r="F90" i="2"/>
  <c r="G90" i="2" s="1"/>
  <c r="F89" i="2"/>
  <c r="G89" i="2" s="1"/>
  <c r="G88" i="2"/>
  <c r="F88" i="2"/>
  <c r="G87" i="2"/>
  <c r="F87" i="2"/>
  <c r="F86" i="2"/>
  <c r="G86" i="2" s="1"/>
  <c r="G85" i="2"/>
  <c r="F85" i="2"/>
  <c r="F84" i="2"/>
  <c r="G84" i="2" s="1"/>
  <c r="F83" i="2"/>
  <c r="G83" i="2" s="1"/>
  <c r="G78" i="2"/>
  <c r="F78" i="2"/>
  <c r="G77" i="2"/>
  <c r="F77" i="2"/>
  <c r="F76" i="2"/>
  <c r="G76" i="2" s="1"/>
  <c r="G75" i="2"/>
  <c r="F75" i="2"/>
  <c r="F74" i="2"/>
  <c r="G74" i="2" s="1"/>
  <c r="F73" i="2"/>
  <c r="G73" i="2" s="1"/>
  <c r="G69" i="2"/>
  <c r="F69" i="2"/>
  <c r="G68" i="2"/>
  <c r="F68" i="2"/>
  <c r="G67" i="2"/>
  <c r="F67" i="2"/>
  <c r="G66" i="2"/>
  <c r="F66" i="2"/>
  <c r="F65" i="2"/>
  <c r="G65" i="2" s="1"/>
  <c r="F64" i="2"/>
  <c r="G64" i="2" s="1"/>
  <c r="G63" i="2"/>
  <c r="F63" i="2"/>
  <c r="G59" i="2"/>
  <c r="F59" i="2"/>
  <c r="G58" i="2"/>
  <c r="F58" i="2"/>
  <c r="F57" i="2"/>
  <c r="G57" i="2" s="1"/>
  <c r="F56" i="2"/>
  <c r="G56" i="2" s="1"/>
  <c r="F55" i="2"/>
  <c r="G55" i="2" s="1"/>
  <c r="G54" i="2"/>
  <c r="F54" i="2"/>
  <c r="G50" i="2"/>
  <c r="F50" i="2"/>
  <c r="G49" i="2"/>
  <c r="F49" i="2"/>
  <c r="F48" i="2"/>
  <c r="G48" i="2" s="1"/>
  <c r="F47" i="2"/>
  <c r="G47" i="2" s="1"/>
  <c r="F46" i="2"/>
  <c r="G46" i="2" s="1"/>
  <c r="G42" i="2"/>
  <c r="F42" i="2"/>
  <c r="G41" i="2"/>
  <c r="F41" i="2"/>
  <c r="G40" i="2"/>
  <c r="F40" i="2"/>
  <c r="F39" i="2"/>
  <c r="G39" i="2" s="1"/>
  <c r="F38" i="2"/>
  <c r="G38" i="2" s="1"/>
  <c r="F34" i="2"/>
  <c r="G34" i="2" s="1"/>
  <c r="G33" i="2"/>
  <c r="F33" i="2"/>
  <c r="G32" i="2"/>
  <c r="F32" i="2"/>
  <c r="G31" i="2"/>
  <c r="F31" i="2"/>
  <c r="F30" i="2"/>
  <c r="G30" i="2" s="1"/>
  <c r="F29" i="2"/>
  <c r="G29" i="2" s="1"/>
  <c r="F25" i="2"/>
  <c r="G25" i="2" s="1"/>
  <c r="G24" i="2"/>
  <c r="F24" i="2"/>
  <c r="G23" i="2"/>
  <c r="F23" i="2"/>
  <c r="F22" i="2"/>
  <c r="G22" i="2" s="1"/>
  <c r="F21" i="2"/>
  <c r="G21" i="2" s="1"/>
  <c r="F17" i="2"/>
  <c r="G17" i="2" s="1"/>
  <c r="F16" i="2"/>
  <c r="G16" i="2" s="1"/>
  <c r="G15" i="2"/>
  <c r="F15" i="2"/>
  <c r="G14" i="2"/>
  <c r="F14" i="2"/>
  <c r="F13" i="2"/>
  <c r="G13" i="2" s="1"/>
  <c r="F9" i="2"/>
  <c r="G9" i="2" s="1"/>
  <c r="F8" i="2"/>
  <c r="G8" i="2" s="1"/>
  <c r="F7" i="2"/>
  <c r="G7" i="2" s="1"/>
  <c r="G6" i="2"/>
  <c r="F6" i="2"/>
  <c r="F122" i="1"/>
  <c r="F166" i="1"/>
  <c r="N11" i="2"/>
  <c r="N14" i="2" s="1"/>
  <c r="N15" i="2" s="1"/>
  <c r="N6" i="1"/>
  <c r="N11" i="4"/>
  <c r="N14" i="4"/>
  <c r="N15" i="4" s="1"/>
  <c r="G6" i="4" s="1"/>
  <c r="N11" i="3"/>
  <c r="N14" i="3" s="1"/>
  <c r="N15" i="3" s="1"/>
  <c r="N11" i="1"/>
  <c r="N14" i="1" s="1"/>
  <c r="F54" i="1"/>
  <c r="F63" i="1"/>
  <c r="F128" i="1"/>
  <c r="F133" i="1"/>
  <c r="F127" i="1"/>
  <c r="F126" i="1"/>
  <c r="F132" i="1"/>
  <c r="F125" i="1"/>
  <c r="F131" i="1"/>
  <c r="F124" i="1"/>
  <c r="F130" i="1"/>
  <c r="F123" i="1"/>
  <c r="F129" i="1"/>
  <c r="F190" i="1"/>
  <c r="F196" i="1"/>
  <c r="F189" i="1"/>
  <c r="F195" i="1"/>
  <c r="F194" i="1"/>
  <c r="F188" i="1"/>
  <c r="F184" i="1"/>
  <c r="F187" i="1"/>
  <c r="F193" i="1"/>
  <c r="F186" i="1"/>
  <c r="F192" i="1"/>
  <c r="F185" i="1"/>
  <c r="F191" i="1"/>
  <c r="F203" i="1"/>
  <c r="F202" i="1"/>
  <c r="F201" i="1"/>
  <c r="F200" i="1"/>
  <c r="F180" i="1"/>
  <c r="F174" i="1"/>
  <c r="F179" i="1"/>
  <c r="F173" i="1"/>
  <c r="F178" i="1"/>
  <c r="F172" i="1"/>
  <c r="F177" i="1"/>
  <c r="F171" i="1"/>
  <c r="F175" i="1"/>
  <c r="F176" i="1"/>
  <c r="F170" i="1"/>
  <c r="F83" i="1"/>
  <c r="F84" i="1"/>
  <c r="F90" i="1"/>
  <c r="F85" i="1"/>
  <c r="F91" i="1"/>
  <c r="F86" i="1"/>
  <c r="F92" i="1"/>
  <c r="F87" i="1"/>
  <c r="F93" i="1"/>
  <c r="F88" i="1"/>
  <c r="F94" i="1"/>
  <c r="F96" i="1"/>
  <c r="F102" i="1"/>
  <c r="F120" i="1"/>
  <c r="F114" i="1"/>
  <c r="F110" i="1"/>
  <c r="F116" i="1"/>
  <c r="F115" i="1"/>
  <c r="F109" i="1"/>
  <c r="F117" i="1"/>
  <c r="F111" i="1"/>
  <c r="F112" i="1"/>
  <c r="F118" i="1"/>
  <c r="F113" i="1"/>
  <c r="F119" i="1"/>
  <c r="F165" i="1"/>
  <c r="F162" i="1"/>
  <c r="F161" i="1"/>
  <c r="F160" i="1"/>
  <c r="F159" i="1"/>
  <c r="F158" i="1"/>
  <c r="F157" i="1"/>
  <c r="F156" i="1"/>
  <c r="F153" i="1"/>
  <c r="F103" i="1"/>
  <c r="F97" i="1"/>
  <c r="F107" i="1"/>
  <c r="F100" i="1"/>
  <c r="F106" i="1"/>
  <c r="F105" i="1"/>
  <c r="F99" i="1"/>
  <c r="F104" i="1"/>
  <c r="F143" i="1"/>
  <c r="F142" i="1"/>
  <c r="F141" i="1"/>
  <c r="G8" i="4" l="1"/>
  <c r="G25" i="4"/>
  <c r="G42" i="4"/>
  <c r="G58" i="4"/>
  <c r="G75" i="4"/>
  <c r="G125" i="4"/>
  <c r="G149" i="4"/>
  <c r="G170" i="4"/>
  <c r="G180" i="4"/>
  <c r="G77" i="4"/>
  <c r="G103" i="4"/>
  <c r="G115" i="4"/>
  <c r="G127" i="4"/>
  <c r="G140" i="4"/>
  <c r="G172" i="4"/>
  <c r="G185" i="4"/>
  <c r="G195" i="4"/>
  <c r="G29" i="4"/>
  <c r="G114" i="4"/>
  <c r="G126" i="4"/>
  <c r="G139" i="4"/>
  <c r="G153" i="4"/>
  <c r="G171" i="4"/>
  <c r="G184" i="4"/>
  <c r="G194" i="4"/>
  <c r="G13" i="4"/>
  <c r="G48" i="4"/>
  <c r="G64" i="4"/>
  <c r="G78" i="4"/>
  <c r="G92" i="4"/>
  <c r="G104" i="4"/>
  <c r="G116" i="4"/>
  <c r="G128" i="4"/>
  <c r="G141" i="4"/>
  <c r="G156" i="4"/>
  <c r="G187" i="4"/>
  <c r="G31" i="4"/>
  <c r="G65" i="4"/>
  <c r="G83" i="4"/>
  <c r="G93" i="4"/>
  <c r="G117" i="4"/>
  <c r="G129" i="4"/>
  <c r="G173" i="4"/>
  <c r="G200" i="4"/>
  <c r="G15" i="4"/>
  <c r="G32" i="4"/>
  <c r="G49" i="4"/>
  <c r="G66" i="4"/>
  <c r="G84" i="4"/>
  <c r="G94" i="4"/>
  <c r="G105" i="4"/>
  <c r="G143" i="4"/>
  <c r="G158" i="4"/>
  <c r="G16" i="4"/>
  <c r="G33" i="4"/>
  <c r="G50" i="4"/>
  <c r="G85" i="4"/>
  <c r="G96" i="4"/>
  <c r="G106" i="4"/>
  <c r="G119" i="4"/>
  <c r="G175" i="4"/>
  <c r="G188" i="4"/>
  <c r="G202" i="4"/>
  <c r="G7" i="4"/>
  <c r="G22" i="4"/>
  <c r="G39" i="4"/>
  <c r="G55" i="4"/>
  <c r="G68" i="4"/>
  <c r="G97" i="4"/>
  <c r="G107" i="4"/>
  <c r="G118" i="4"/>
  <c r="G130" i="4"/>
  <c r="G142" i="4"/>
  <c r="G157" i="4"/>
  <c r="G186" i="4"/>
  <c r="G196" i="4"/>
  <c r="G9" i="4"/>
  <c r="G24" i="4"/>
  <c r="G40" i="4"/>
  <c r="G57" i="4"/>
  <c r="G73" i="4"/>
  <c r="G87" i="4"/>
  <c r="G110" i="4"/>
  <c r="G120" i="4"/>
  <c r="G131" i="4"/>
  <c r="G144" i="4"/>
  <c r="G159" i="4"/>
  <c r="G174" i="4"/>
  <c r="G201" i="4"/>
  <c r="G30" i="4"/>
  <c r="G46" i="4"/>
  <c r="G59" i="4"/>
  <c r="G90" i="4"/>
  <c r="G101" i="4"/>
  <c r="G112" i="4"/>
  <c r="G124" i="4"/>
  <c r="G136" i="4"/>
  <c r="G146" i="4"/>
  <c r="G177" i="4"/>
  <c r="G190" i="4"/>
  <c r="G203" i="4"/>
  <c r="G14" i="4"/>
  <c r="G47" i="4"/>
  <c r="G63" i="4"/>
  <c r="G76" i="4"/>
  <c r="G91" i="4"/>
  <c r="G102" i="4"/>
  <c r="G113" i="4"/>
  <c r="G137" i="4"/>
  <c r="G147" i="4"/>
  <c r="G162" i="4"/>
  <c r="G178" i="4"/>
  <c r="G191" i="4"/>
  <c r="N15" i="1"/>
  <c r="G122" i="1" s="1"/>
  <c r="F101" i="1"/>
  <c r="F98" i="1"/>
  <c r="F147" i="1"/>
  <c r="F148" i="1"/>
  <c r="F149" i="1"/>
  <c r="F146" i="1"/>
  <c r="F145" i="1"/>
  <c r="F144" i="1"/>
  <c r="F140" i="1"/>
  <c r="F139" i="1"/>
  <c r="F138" i="1"/>
  <c r="F137" i="1"/>
  <c r="F136" i="1"/>
  <c r="F89" i="1"/>
  <c r="F33" i="1"/>
  <c r="F42" i="1"/>
  <c r="F41" i="1"/>
  <c r="F40" i="1"/>
  <c r="F39" i="1"/>
  <c r="F38" i="1"/>
  <c r="F34" i="1"/>
  <c r="F32" i="1"/>
  <c r="F31" i="1"/>
  <c r="F30" i="1"/>
  <c r="F29" i="1"/>
  <c r="F25" i="1"/>
  <c r="F24" i="1"/>
  <c r="F23" i="1"/>
  <c r="F22" i="1"/>
  <c r="F21" i="1"/>
  <c r="F17" i="1"/>
  <c r="F16" i="1"/>
  <c r="F15" i="1"/>
  <c r="F14" i="1"/>
  <c r="F13" i="1"/>
  <c r="F9" i="1"/>
  <c r="F8" i="1"/>
  <c r="F7" i="1"/>
  <c r="F78" i="1"/>
  <c r="F77" i="1"/>
  <c r="F76" i="1"/>
  <c r="F75" i="1"/>
  <c r="F74" i="1"/>
  <c r="F73" i="1"/>
  <c r="F69" i="1"/>
  <c r="F68" i="1"/>
  <c r="F67" i="1"/>
  <c r="F66" i="1"/>
  <c r="F65" i="1"/>
  <c r="F64" i="1"/>
  <c r="F59" i="1"/>
  <c r="F58" i="1"/>
  <c r="F57" i="1"/>
  <c r="F56" i="1"/>
  <c r="F55" i="1"/>
  <c r="F47" i="1"/>
  <c r="F48" i="1"/>
  <c r="F49" i="1"/>
  <c r="F50" i="1"/>
  <c r="F46" i="1"/>
  <c r="G166" i="1" l="1"/>
  <c r="G6" i="1"/>
  <c r="G78" i="1"/>
  <c r="G15" i="1"/>
  <c r="G25" i="1"/>
  <c r="G174" i="1"/>
  <c r="G178" i="1"/>
  <c r="G179" i="1"/>
  <c r="G119" i="1"/>
  <c r="G57" i="1"/>
  <c r="G31" i="1"/>
  <c r="G194" i="1"/>
  <c r="G8" i="1"/>
  <c r="G83" i="1"/>
  <c r="G92" i="1"/>
  <c r="G105" i="1"/>
  <c r="G13" i="1"/>
  <c r="G190" i="1"/>
  <c r="G147" i="1"/>
  <c r="G38" i="1"/>
  <c r="G23" i="1"/>
  <c r="G33" i="1"/>
  <c r="G34" i="1"/>
  <c r="G110" i="1"/>
  <c r="G102" i="1"/>
  <c r="G69" i="1"/>
  <c r="G133" i="1"/>
  <c r="G90" i="1"/>
  <c r="G66" i="1"/>
  <c r="G191" i="1"/>
  <c r="G138" i="1"/>
  <c r="G173" i="1"/>
  <c r="G127" i="1"/>
  <c r="G65" i="1"/>
  <c r="G9" i="1"/>
  <c r="G158" i="1"/>
  <c r="G165" i="1"/>
  <c r="G99" i="1"/>
  <c r="G77" i="1"/>
  <c r="G87" i="1"/>
  <c r="G123" i="1"/>
  <c r="G175" i="1"/>
  <c r="G141" i="1"/>
  <c r="G54" i="1"/>
  <c r="G185" i="1"/>
  <c r="G142" i="1"/>
  <c r="G202" i="1"/>
  <c r="G139" i="1"/>
  <c r="G16" i="1"/>
  <c r="G55" i="1"/>
  <c r="G30" i="1"/>
  <c r="G187" i="1"/>
  <c r="G136" i="1"/>
  <c r="G177" i="1"/>
  <c r="G176" i="1"/>
  <c r="G75" i="1"/>
  <c r="G104" i="1"/>
  <c r="G161" i="1"/>
  <c r="G172" i="1"/>
  <c r="G86" i="1"/>
  <c r="G50" i="1"/>
  <c r="G106" i="1"/>
  <c r="G118" i="1"/>
  <c r="G195" i="1"/>
  <c r="G146" i="1"/>
  <c r="G107" i="1"/>
  <c r="G113" i="1"/>
  <c r="G47" i="1"/>
  <c r="G76" i="1"/>
  <c r="G17" i="1"/>
  <c r="G128" i="1"/>
  <c r="G42" i="1"/>
  <c r="G171" i="1"/>
  <c r="G88" i="1"/>
  <c r="G124" i="1"/>
  <c r="G84" i="1"/>
  <c r="G46" i="1"/>
  <c r="G89" i="1"/>
  <c r="G132" i="1"/>
  <c r="G153" i="1"/>
  <c r="G200" i="1"/>
  <c r="G41" i="1"/>
  <c r="G126" i="1"/>
  <c r="G143" i="1"/>
  <c r="G109" i="1"/>
  <c r="G49" i="1"/>
  <c r="G184" i="1"/>
  <c r="G131" i="1"/>
  <c r="G140" i="1"/>
  <c r="G156" i="1"/>
  <c r="G130" i="1"/>
  <c r="G117" i="1"/>
  <c r="G22" i="1"/>
  <c r="G59" i="1"/>
  <c r="G145" i="1"/>
  <c r="G129" i="1"/>
  <c r="G116" i="1"/>
  <c r="G192" i="1"/>
  <c r="G120" i="1"/>
  <c r="G137" i="1"/>
  <c r="G7" i="1"/>
  <c r="G29" i="1"/>
  <c r="G111" i="1"/>
  <c r="G159" i="1"/>
  <c r="G180" i="1"/>
  <c r="G21" i="1"/>
  <c r="G160" i="1"/>
  <c r="G56" i="1"/>
  <c r="G58" i="1"/>
  <c r="G48" i="1"/>
  <c r="G73" i="1"/>
  <c r="G93" i="1"/>
  <c r="G101" i="1"/>
  <c r="G201" i="1"/>
  <c r="G196" i="1"/>
  <c r="G112" i="1"/>
  <c r="G189" i="1"/>
  <c r="G115" i="1"/>
  <c r="G67" i="1"/>
  <c r="G40" i="1"/>
  <c r="G125" i="1"/>
  <c r="G148" i="1"/>
  <c r="G32" i="1"/>
  <c r="G157" i="1"/>
  <c r="G39" i="1"/>
  <c r="G68" i="1"/>
  <c r="G103" i="1"/>
  <c r="G97" i="1"/>
  <c r="G149" i="1"/>
  <c r="G74" i="1"/>
  <c r="G170" i="1"/>
  <c r="G188" i="1"/>
  <c r="G24" i="1"/>
  <c r="G85" i="1"/>
  <c r="G14" i="1"/>
  <c r="G64" i="1"/>
  <c r="G186" i="1"/>
  <c r="G98" i="1"/>
  <c r="G193" i="1"/>
  <c r="G63" i="1"/>
  <c r="G91" i="1"/>
  <c r="G96" i="1"/>
  <c r="G100" i="1"/>
  <c r="G144" i="1"/>
  <c r="G162" i="1"/>
  <c r="G203" i="1"/>
  <c r="G114" i="1"/>
  <c r="G94" i="1"/>
</calcChain>
</file>

<file path=xl/sharedStrings.xml><?xml version="1.0" encoding="utf-8"?>
<sst xmlns="http://schemas.openxmlformats.org/spreadsheetml/2006/main" count="1119" uniqueCount="202">
  <si>
    <t>XP FAMILIER</t>
  </si>
  <si>
    <t>Ressources</t>
  </si>
  <si>
    <t>XP</t>
  </si>
  <si>
    <t>CREVASSE PERGE</t>
  </si>
  <si>
    <t>Cornée de Kami Givrefoux</t>
  </si>
  <si>
    <t>Patte de Soryo Givrefoux</t>
  </si>
  <si>
    <t>Crâne de Yokai Givrefoux</t>
  </si>
  <si>
    <t>Cuir de Maho Givrefoux</t>
  </si>
  <si>
    <t>Queue de Yomi Givrefoux</t>
  </si>
  <si>
    <t>Qté</t>
  </si>
  <si>
    <t>Prix d'achat /u</t>
  </si>
  <si>
    <t>FORÊT PETRIFIÉE</t>
  </si>
  <si>
    <t>Oreille de Fistulor</t>
  </si>
  <si>
    <t>Pedoncule de Fongeur</t>
  </si>
  <si>
    <t>Pedoncule de Merulette</t>
  </si>
  <si>
    <t>FORGEMAGIE</t>
  </si>
  <si>
    <t>Rune PO</t>
  </si>
  <si>
    <t>Rune GA PM</t>
  </si>
  <si>
    <t>Rune GA PA</t>
  </si>
  <si>
    <t>Rune Invo</t>
  </si>
  <si>
    <t>Œil de Dramanite</t>
  </si>
  <si>
    <t>Racine d'Abrazif</t>
  </si>
  <si>
    <t>CROC DE VERRE</t>
  </si>
  <si>
    <t>Manubrium de Wolvero</t>
  </si>
  <si>
    <t>Etoffe de Croleur</t>
  </si>
  <si>
    <t>Oreille de Blerice</t>
  </si>
  <si>
    <t>Poil de Blérauve</t>
  </si>
  <si>
    <t>Queue de Blerom</t>
  </si>
  <si>
    <t>Œil de Fleuro</t>
  </si>
  <si>
    <t>MONT TORRIDEAU</t>
  </si>
  <si>
    <t>Calcaneus de Meliglours</t>
  </si>
  <si>
    <t>Aile de Gloursaya</t>
  </si>
  <si>
    <t>Laine de Glouragan</t>
  </si>
  <si>
    <t>Etoffe de Gloumand</t>
  </si>
  <si>
    <t>Vomer d'Aperiglours</t>
  </si>
  <si>
    <t>Iris de Boulglours</t>
  </si>
  <si>
    <t>CHAMPS DE GLACE</t>
  </si>
  <si>
    <t>Clavicule de Boufmouth</t>
  </si>
  <si>
    <t>Œil de Boufmouth de guerre</t>
  </si>
  <si>
    <t>Cuir de Bouftonmouth</t>
  </si>
  <si>
    <t>Queue de Boufmouth Légendaire</t>
  </si>
  <si>
    <t>FORET DES PINS PERDUS</t>
  </si>
  <si>
    <t>Œil torve de Fricochere</t>
  </si>
  <si>
    <t>Defense du Sanglacier</t>
  </si>
  <si>
    <t>Dent de Smilomouth</t>
  </si>
  <si>
    <t>Gland d'écumouth</t>
  </si>
  <si>
    <t>Etoffe de Kaniglou</t>
  </si>
  <si>
    <t>Huile de Mamansot</t>
  </si>
  <si>
    <t>Bec du Timansot</t>
  </si>
  <si>
    <t>Oreille du Fu Mansot</t>
  </si>
  <si>
    <t>Aile de Mansobèse</t>
  </si>
  <si>
    <t>Arête géante du Shamansot</t>
  </si>
  <si>
    <t>LAC GELÉE</t>
  </si>
  <si>
    <t>BERCEAU D'ALMA</t>
  </si>
  <si>
    <t>LARMES D'OURONIGRIDE</t>
  </si>
  <si>
    <t>Œil de Vigie pirate</t>
  </si>
  <si>
    <t>Dent de Fantomat</t>
  </si>
  <si>
    <t>Coquille de Harpirate</t>
  </si>
  <si>
    <t>Corde de Fancrome</t>
  </si>
  <si>
    <t>Bouée de Fantomalamère</t>
  </si>
  <si>
    <t>Huile de Fantimonier</t>
  </si>
  <si>
    <t>Ulna de Solfataré</t>
  </si>
  <si>
    <t>Artefact de Fumrirolle</t>
  </si>
  <si>
    <t>Tephra d'Atomystique</t>
  </si>
  <si>
    <t>Œuf de Crapeur</t>
  </si>
  <si>
    <t>Tuf de Mofette</t>
  </si>
  <si>
    <t>Laine de Sylargh</t>
  </si>
  <si>
    <t>Patelle</t>
  </si>
  <si>
    <t>Salikrone</t>
  </si>
  <si>
    <t>Quisnoa</t>
  </si>
  <si>
    <t>Bois d'Aquajou</t>
  </si>
  <si>
    <t>Ecume de mer</t>
  </si>
  <si>
    <t>Kanigloups</t>
  </si>
  <si>
    <t>Kokulte</t>
  </si>
  <si>
    <t>Blerodoudou</t>
  </si>
  <si>
    <t>Familier</t>
  </si>
  <si>
    <t>Prix</t>
  </si>
  <si>
    <t>RESSOURCES ABYSSALES</t>
  </si>
  <si>
    <t>Marque des grands fonds</t>
  </si>
  <si>
    <t>Steamopompe</t>
  </si>
  <si>
    <t>Filtre à frousse</t>
  </si>
  <si>
    <t>Socle en coquillage</t>
  </si>
  <si>
    <t>Plombs de plongée</t>
  </si>
  <si>
    <t>Hélice en laiton</t>
  </si>
  <si>
    <t>FRIGOST 3</t>
  </si>
  <si>
    <t>Prix de référence</t>
  </si>
  <si>
    <t>Etoffe de Grodruche</t>
  </si>
  <si>
    <t>Cervelle de Peunch</t>
  </si>
  <si>
    <t>Patte de Termystique</t>
  </si>
  <si>
    <t>Parasite aquatique</t>
  </si>
  <si>
    <t>Pierre angulaire</t>
  </si>
  <si>
    <t>Peau de trithon</t>
  </si>
  <si>
    <t>Cuir de Grodruche</t>
  </si>
  <si>
    <t>Œil de Harrogant</t>
  </si>
  <si>
    <t>Culotte de Harrogant</t>
  </si>
  <si>
    <t>Cuir d'Empaillé</t>
  </si>
  <si>
    <t>Cœur d'Empaillé</t>
  </si>
  <si>
    <t>Cuir de Peunch</t>
  </si>
  <si>
    <t>Cuir de Cuirboule</t>
  </si>
  <si>
    <t>Dent de Cuirboule</t>
  </si>
  <si>
    <t>NIMOTOPIA</t>
  </si>
  <si>
    <t>ENUTROSOR</t>
  </si>
  <si>
    <t>Joyau de la couronne du roi Nidas</t>
  </si>
  <si>
    <t>Boule en or de Piloztère</t>
  </si>
  <si>
    <t>Kamatrix</t>
  </si>
  <si>
    <t>Morceau de clef de Paspartou</t>
  </si>
  <si>
    <t>Dent de lévitrof</t>
  </si>
  <si>
    <t>Corne de Kamasterisk</t>
  </si>
  <si>
    <t>Sourcil de Barbétoal</t>
  </si>
  <si>
    <t>Broderie de Nileza</t>
  </si>
  <si>
    <t>SRAMBAD</t>
  </si>
  <si>
    <t>Crochet rouillé</t>
  </si>
  <si>
    <t>Bouteille de Bouchonnois</t>
  </si>
  <si>
    <t>Bracté de Drosérâle</t>
  </si>
  <si>
    <t>Sépale de Drosérâle</t>
  </si>
  <si>
    <t>Crinière de Krakal</t>
  </si>
  <si>
    <t>Canine de Krakal</t>
  </si>
  <si>
    <t>Bec de Dodox</t>
  </si>
  <si>
    <t>Plume de Dodox</t>
  </si>
  <si>
    <t>Braguette de Nileza</t>
  </si>
  <si>
    <t>Carapace de Termystique</t>
  </si>
  <si>
    <t>Molaire de Nessil</t>
  </si>
  <si>
    <t>Bave de Nessil</t>
  </si>
  <si>
    <t>Moustache de Klime</t>
  </si>
  <si>
    <t>Scalp de Klime</t>
  </si>
  <si>
    <t>Incisive de Sylargh</t>
  </si>
  <si>
    <t>Griffe de Kanimate</t>
  </si>
  <si>
    <t>Canine de Kanimate</t>
  </si>
  <si>
    <t>Queue de Brikoglours</t>
  </si>
  <si>
    <t>Maxillaire de Brikoglours</t>
  </si>
  <si>
    <t>Sternum de Mansordide</t>
  </si>
  <si>
    <t>Bec de Mansordide</t>
  </si>
  <si>
    <t>Oreille de Mecanofoux</t>
  </si>
  <si>
    <t>Astragale de Mecanofoux</t>
  </si>
  <si>
    <t>Pédoncule de Mérulor</t>
  </si>
  <si>
    <t>Volve de Mérulor</t>
  </si>
  <si>
    <t>MERKATOR</t>
  </si>
  <si>
    <t>Chausette de Cyclophrandre</t>
  </si>
  <si>
    <t>Barbe du Cyclophandre</t>
  </si>
  <si>
    <t>Barbe de Merkator</t>
  </si>
  <si>
    <t>Pince de Krabouilleur</t>
  </si>
  <si>
    <t>Carapace de Krabouilleur</t>
  </si>
  <si>
    <t>Sang de Harpo</t>
  </si>
  <si>
    <t>Œil de Harpo</t>
  </si>
  <si>
    <t>Pic de Pikoleur</t>
  </si>
  <si>
    <t>Cuir d'Eskoglyphe</t>
  </si>
  <si>
    <t>Huile de Pikoleur</t>
  </si>
  <si>
    <t>Broderie d'Eskoglyphe</t>
  </si>
  <si>
    <t>KANIGROULA</t>
  </si>
  <si>
    <t>Tignasse de Kanihilan</t>
  </si>
  <si>
    <t>Oreille de Kaniblou</t>
  </si>
  <si>
    <t>Etoffe de Kaniblou</t>
  </si>
  <si>
    <t>Chaine de Panthégros</t>
  </si>
  <si>
    <t>Boucle d'Orfelin</t>
  </si>
  <si>
    <t>Griffe de Félygiene</t>
  </si>
  <si>
    <t>Cheveux d'Alhyene</t>
  </si>
  <si>
    <t>Frimousse d'Alhyene</t>
  </si>
  <si>
    <t>Peau de Kanihilan</t>
  </si>
  <si>
    <t>Boule de Panthègros</t>
  </si>
  <si>
    <t>Crinière d'Orfelin</t>
  </si>
  <si>
    <t>Canine de Félygiène</t>
  </si>
  <si>
    <t>Poils de Kanigroula</t>
  </si>
  <si>
    <t>Coût Max Up FAMI 100</t>
  </si>
  <si>
    <t>Stapes de Frimar</t>
  </si>
  <si>
    <t>Moustache de Frimar</t>
  </si>
  <si>
    <t>Sang de Karkanik</t>
  </si>
  <si>
    <t>Malleus de Karkanik</t>
  </si>
  <si>
    <t>Ethmoide de Stalak</t>
  </si>
  <si>
    <t>Sang de Ventrublion</t>
  </si>
  <si>
    <t>Molaire de Ventrublion</t>
  </si>
  <si>
    <t>Cervelle de Verglasseur</t>
  </si>
  <si>
    <t>Incus de Verglasseur</t>
  </si>
  <si>
    <t>Poil d'aisselle de Missiz Frizz</t>
  </si>
  <si>
    <t>Incisive de Stalak</t>
  </si>
  <si>
    <t>Griffe de Kolosso</t>
  </si>
  <si>
    <t>DIVERS</t>
  </si>
  <si>
    <t>Patte de Korriandre</t>
  </si>
  <si>
    <t>Tete de mort</t>
  </si>
  <si>
    <t>HellMina</t>
  </si>
  <si>
    <t>Prix pour 359 croquettes</t>
  </si>
  <si>
    <t>Prix unitaire croquette</t>
  </si>
  <si>
    <t xml:space="preserve">XP FAMILIER 1 à 100 : </t>
  </si>
  <si>
    <t>Prix d'achat du familier 1</t>
  </si>
  <si>
    <t>Prix de référence total</t>
  </si>
  <si>
    <t>Marge</t>
  </si>
  <si>
    <t>XP 1 CROQUETTE :</t>
  </si>
  <si>
    <t>NB Croquettes UP 100 :</t>
  </si>
  <si>
    <t>Sakochere</t>
  </si>
  <si>
    <t>Culotte de Missiz Frizz</t>
  </si>
  <si>
    <t>Sylargh</t>
  </si>
  <si>
    <t>Klime</t>
  </si>
  <si>
    <t>Nileza</t>
  </si>
  <si>
    <t>Missiz Frizz</t>
  </si>
  <si>
    <t>Queue du Boufmouth Légendaire</t>
  </si>
  <si>
    <t>Etoffe de Glourmand</t>
  </si>
  <si>
    <t>Bractée de Drosérâle</t>
  </si>
  <si>
    <t>Rune Ga Pme</t>
  </si>
  <si>
    <t>Rune Ga Pa</t>
  </si>
  <si>
    <t>Rune Po</t>
  </si>
  <si>
    <t>Gland de l'Écumouth</t>
  </si>
  <si>
    <t>Corde du Fancrôme</t>
  </si>
  <si>
    <t>Chaussette du Cyclophandre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</si>
</sst>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0.0"/>
    <numFmt numFmtId="165" formatCode="_-* #,##0\ _€_-;\-* #,##0\ _€_-;_-* &quot;-&quot;\ _€_-;_-@_-"/>
    <numFmt numFmtId="166" formatCode="#,##0\ _€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165" fontId="1" fillId="2" borderId="1" xfId="1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3" fontId="1" fillId="2" borderId="1" xfId="1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" fontId="1" fillId="7" borderId="1" xfId="0" applyNumberFormat="1" applyFont="1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vertical="center"/>
    </xf>
    <xf numFmtId="9" fontId="1" fillId="4" borderId="1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816FB-69B0-44CD-92C4-587E836BC2BB}">
  <dimension ref="A1:B150"/>
  <sheetViews>
    <sheetView tabSelected="1" topLeftCell="A105" workbookViewId="0">
      <selection activeCell="A123" sqref="A123"/>
    </sheetView>
  </sheetViews>
  <sheetFormatPr baseColWidth="10" defaultRowHeight="15" x14ac:dyDescent="0.25"/>
  <cols>
    <col min="1" max="1" width="31" bestFit="1" customWidth="1"/>
  </cols>
  <sheetData>
    <row r="1" spans="1:2" x14ac:dyDescent="0.25">
      <c r="A1" s="5" t="s">
        <v>1</v>
      </c>
      <c r="B1" s="5" t="s">
        <v>2</v>
      </c>
    </row>
    <row r="2" spans="1:2" x14ac:dyDescent="0.25">
      <c r="A2" s="2" t="s">
        <v>37</v>
      </c>
      <c r="B2" s="2">
        <v>11</v>
      </c>
    </row>
    <row r="3" spans="1:2" x14ac:dyDescent="0.25">
      <c r="A3" s="2" t="s">
        <v>38</v>
      </c>
      <c r="B3" s="2">
        <v>11</v>
      </c>
    </row>
    <row r="4" spans="1:2" x14ac:dyDescent="0.25">
      <c r="A4" s="2" t="s">
        <v>39</v>
      </c>
      <c r="B4" s="2">
        <v>10</v>
      </c>
    </row>
    <row r="5" spans="1:2" x14ac:dyDescent="0.25">
      <c r="A5" s="2" t="s">
        <v>193</v>
      </c>
      <c r="B5" s="2">
        <v>13</v>
      </c>
    </row>
    <row r="6" spans="1:2" x14ac:dyDescent="0.25">
      <c r="A6" s="2" t="s">
        <v>47</v>
      </c>
      <c r="B6" s="2">
        <v>19</v>
      </c>
    </row>
    <row r="7" spans="1:2" x14ac:dyDescent="0.25">
      <c r="A7" s="2" t="s">
        <v>48</v>
      </c>
      <c r="B7" s="2">
        <v>16</v>
      </c>
    </row>
    <row r="8" spans="1:2" x14ac:dyDescent="0.25">
      <c r="A8" s="2" t="s">
        <v>49</v>
      </c>
      <c r="B8" s="2">
        <v>20</v>
      </c>
    </row>
    <row r="9" spans="1:2" x14ac:dyDescent="0.25">
      <c r="A9" s="2" t="s">
        <v>50</v>
      </c>
      <c r="B9" s="2">
        <v>18</v>
      </c>
    </row>
    <row r="10" spans="1:2" x14ac:dyDescent="0.25">
      <c r="A10" s="2" t="s">
        <v>51</v>
      </c>
      <c r="B10" s="2">
        <v>19</v>
      </c>
    </row>
    <row r="11" spans="1:2" x14ac:dyDescent="0.25">
      <c r="A11" s="2" t="s">
        <v>42</v>
      </c>
      <c r="B11" s="2">
        <v>19</v>
      </c>
    </row>
    <row r="12" spans="1:2" x14ac:dyDescent="0.25">
      <c r="A12" s="2" t="s">
        <v>43</v>
      </c>
      <c r="B12" s="2">
        <v>17</v>
      </c>
    </row>
    <row r="13" spans="1:2" x14ac:dyDescent="0.25">
      <c r="A13" s="2" t="s">
        <v>44</v>
      </c>
      <c r="B13" s="2">
        <v>17</v>
      </c>
    </row>
    <row r="14" spans="1:2" x14ac:dyDescent="0.25">
      <c r="A14" s="2" t="s">
        <v>199</v>
      </c>
      <c r="B14" s="2">
        <v>16</v>
      </c>
    </row>
    <row r="15" spans="1:2" x14ac:dyDescent="0.25">
      <c r="A15" s="2" t="s">
        <v>46</v>
      </c>
      <c r="B15" s="2">
        <v>20</v>
      </c>
    </row>
    <row r="16" spans="1:2" x14ac:dyDescent="0.25">
      <c r="A16" s="2" t="s">
        <v>55</v>
      </c>
      <c r="B16" s="2">
        <v>28</v>
      </c>
    </row>
    <row r="17" spans="1:2" x14ac:dyDescent="0.25">
      <c r="A17" s="2" t="s">
        <v>56</v>
      </c>
      <c r="B17" s="2">
        <v>33</v>
      </c>
    </row>
    <row r="18" spans="1:2" x14ac:dyDescent="0.25">
      <c r="A18" s="2" t="s">
        <v>57</v>
      </c>
      <c r="B18" s="2">
        <v>24</v>
      </c>
    </row>
    <row r="19" spans="1:2" x14ac:dyDescent="0.25">
      <c r="A19" s="2" t="s">
        <v>200</v>
      </c>
      <c r="B19" s="2">
        <v>24</v>
      </c>
    </row>
    <row r="20" spans="1:2" x14ac:dyDescent="0.25">
      <c r="A20" s="2" t="s">
        <v>60</v>
      </c>
      <c r="B20" s="2">
        <v>24</v>
      </c>
    </row>
    <row r="21" spans="1:2" x14ac:dyDescent="0.25">
      <c r="A21" s="2" t="s">
        <v>59</v>
      </c>
      <c r="B21" s="2">
        <v>24</v>
      </c>
    </row>
    <row r="22" spans="1:2" x14ac:dyDescent="0.25">
      <c r="A22" s="2" t="s">
        <v>61</v>
      </c>
      <c r="B22" s="2">
        <v>31</v>
      </c>
    </row>
    <row r="23" spans="1:2" x14ac:dyDescent="0.25">
      <c r="A23" s="2" t="s">
        <v>62</v>
      </c>
      <c r="B23" s="2">
        <v>34</v>
      </c>
    </row>
    <row r="24" spans="1:2" x14ac:dyDescent="0.25">
      <c r="A24" s="2" t="s">
        <v>63</v>
      </c>
      <c r="B24" s="2">
        <v>34</v>
      </c>
    </row>
    <row r="25" spans="1:2" x14ac:dyDescent="0.25">
      <c r="A25" s="2" t="s">
        <v>64</v>
      </c>
      <c r="B25" s="2">
        <v>36</v>
      </c>
    </row>
    <row r="26" spans="1:2" x14ac:dyDescent="0.25">
      <c r="A26" s="2" t="s">
        <v>65</v>
      </c>
      <c r="B26" s="2">
        <v>9</v>
      </c>
    </row>
    <row r="27" spans="1:2" x14ac:dyDescent="0.25">
      <c r="A27" s="2" t="s">
        <v>4</v>
      </c>
      <c r="B27" s="2">
        <v>40</v>
      </c>
    </row>
    <row r="28" spans="1:2" x14ac:dyDescent="0.25">
      <c r="A28" s="2" t="s">
        <v>5</v>
      </c>
      <c r="B28" s="2">
        <v>40</v>
      </c>
    </row>
    <row r="29" spans="1:2" x14ac:dyDescent="0.25">
      <c r="A29" s="2" t="s">
        <v>6</v>
      </c>
      <c r="B29" s="2">
        <v>40</v>
      </c>
    </row>
    <row r="30" spans="1:2" x14ac:dyDescent="0.25">
      <c r="A30" s="2" t="s">
        <v>7</v>
      </c>
      <c r="B30" s="2">
        <v>40</v>
      </c>
    </row>
    <row r="31" spans="1:2" x14ac:dyDescent="0.25">
      <c r="A31" s="2" t="s">
        <v>8</v>
      </c>
      <c r="B31" s="2">
        <v>40</v>
      </c>
    </row>
    <row r="32" spans="1:2" x14ac:dyDescent="0.25">
      <c r="A32" s="2" t="s">
        <v>176</v>
      </c>
      <c r="B32" s="2">
        <v>48</v>
      </c>
    </row>
    <row r="33" spans="1:2" x14ac:dyDescent="0.25">
      <c r="A33" s="2" t="s">
        <v>12</v>
      </c>
      <c r="B33" s="2">
        <v>51</v>
      </c>
    </row>
    <row r="34" spans="1:2" x14ac:dyDescent="0.25">
      <c r="A34" s="2" t="s">
        <v>13</v>
      </c>
      <c r="B34" s="2">
        <v>51</v>
      </c>
    </row>
    <row r="35" spans="1:2" x14ac:dyDescent="0.25">
      <c r="A35" s="2" t="s">
        <v>14</v>
      </c>
      <c r="B35" s="2">
        <v>51</v>
      </c>
    </row>
    <row r="36" spans="1:2" x14ac:dyDescent="0.25">
      <c r="A36" s="2" t="s">
        <v>20</v>
      </c>
      <c r="B36" s="2">
        <v>51</v>
      </c>
    </row>
    <row r="37" spans="1:2" x14ac:dyDescent="0.25">
      <c r="A37" s="2" t="s">
        <v>21</v>
      </c>
      <c r="B37" s="2">
        <v>51</v>
      </c>
    </row>
    <row r="38" spans="1:2" x14ac:dyDescent="0.25">
      <c r="A38" s="2" t="s">
        <v>174</v>
      </c>
      <c r="B38" s="2">
        <v>61</v>
      </c>
    </row>
    <row r="39" spans="1:2" x14ac:dyDescent="0.25">
      <c r="A39" s="2" t="s">
        <v>23</v>
      </c>
      <c r="B39" s="2">
        <v>67</v>
      </c>
    </row>
    <row r="40" spans="1:2" x14ac:dyDescent="0.25">
      <c r="A40" s="2" t="s">
        <v>24</v>
      </c>
      <c r="B40" s="2">
        <v>67</v>
      </c>
    </row>
    <row r="41" spans="1:2" x14ac:dyDescent="0.25">
      <c r="A41" s="2" t="s">
        <v>25</v>
      </c>
      <c r="B41" s="2">
        <v>67</v>
      </c>
    </row>
    <row r="42" spans="1:2" x14ac:dyDescent="0.25">
      <c r="A42" s="2" t="s">
        <v>26</v>
      </c>
      <c r="B42" s="2">
        <v>67</v>
      </c>
    </row>
    <row r="43" spans="1:2" x14ac:dyDescent="0.25">
      <c r="A43" s="2" t="s">
        <v>27</v>
      </c>
      <c r="B43" s="2">
        <v>67</v>
      </c>
    </row>
    <row r="44" spans="1:2" x14ac:dyDescent="0.25">
      <c r="A44" s="2" t="s">
        <v>28</v>
      </c>
      <c r="B44" s="2">
        <v>69</v>
      </c>
    </row>
    <row r="45" spans="1:2" x14ac:dyDescent="0.25">
      <c r="A45" s="2" t="s">
        <v>30</v>
      </c>
      <c r="B45" s="2">
        <v>75</v>
      </c>
    </row>
    <row r="46" spans="1:2" x14ac:dyDescent="0.25">
      <c r="A46" s="2" t="s">
        <v>31</v>
      </c>
      <c r="B46" s="2">
        <v>75</v>
      </c>
    </row>
    <row r="47" spans="1:2" x14ac:dyDescent="0.25">
      <c r="A47" s="2" t="s">
        <v>32</v>
      </c>
      <c r="B47" s="2">
        <v>75</v>
      </c>
    </row>
    <row r="48" spans="1:2" x14ac:dyDescent="0.25">
      <c r="A48" s="2" t="s">
        <v>194</v>
      </c>
      <c r="B48" s="2">
        <v>75</v>
      </c>
    </row>
    <row r="49" spans="1:2" x14ac:dyDescent="0.25">
      <c r="A49" s="2" t="s">
        <v>34</v>
      </c>
      <c r="B49" s="2">
        <v>75</v>
      </c>
    </row>
    <row r="50" spans="1:2" x14ac:dyDescent="0.25">
      <c r="A50" s="2" t="s">
        <v>35</v>
      </c>
      <c r="B50" s="2">
        <v>75</v>
      </c>
    </row>
    <row r="51" spans="1:2" x14ac:dyDescent="0.25">
      <c r="A51" s="18" t="s">
        <v>125</v>
      </c>
      <c r="B51" s="18">
        <v>506</v>
      </c>
    </row>
    <row r="52" spans="1:2" x14ac:dyDescent="0.25">
      <c r="A52" s="18" t="s">
        <v>126</v>
      </c>
      <c r="B52" s="18">
        <v>101</v>
      </c>
    </row>
    <row r="53" spans="1:2" x14ac:dyDescent="0.25">
      <c r="A53" s="18" t="s">
        <v>128</v>
      </c>
      <c r="B53" s="18">
        <v>101</v>
      </c>
    </row>
    <row r="54" spans="1:2" x14ac:dyDescent="0.25">
      <c r="A54" s="18" t="s">
        <v>130</v>
      </c>
      <c r="B54" s="18">
        <v>101</v>
      </c>
    </row>
    <row r="55" spans="1:2" x14ac:dyDescent="0.25">
      <c r="A55" s="18" t="s">
        <v>132</v>
      </c>
      <c r="B55" s="18">
        <v>101</v>
      </c>
    </row>
    <row r="56" spans="1:2" x14ac:dyDescent="0.25">
      <c r="A56" s="18" t="s">
        <v>134</v>
      </c>
      <c r="B56" s="18">
        <v>101</v>
      </c>
    </row>
    <row r="57" spans="1:2" x14ac:dyDescent="0.25">
      <c r="A57" s="18" t="s">
        <v>66</v>
      </c>
      <c r="B57" s="18">
        <v>84</v>
      </c>
    </row>
    <row r="58" spans="1:2" x14ac:dyDescent="0.25">
      <c r="A58" s="18" t="s">
        <v>127</v>
      </c>
      <c r="B58" s="18">
        <v>16</v>
      </c>
    </row>
    <row r="59" spans="1:2" x14ac:dyDescent="0.25">
      <c r="A59" s="18" t="s">
        <v>129</v>
      </c>
      <c r="B59" s="18">
        <v>16</v>
      </c>
    </row>
    <row r="60" spans="1:2" x14ac:dyDescent="0.25">
      <c r="A60" s="18" t="s">
        <v>131</v>
      </c>
      <c r="B60" s="18">
        <v>16</v>
      </c>
    </row>
    <row r="61" spans="1:2" x14ac:dyDescent="0.25">
      <c r="A61" s="18" t="s">
        <v>133</v>
      </c>
      <c r="B61" s="18">
        <v>16</v>
      </c>
    </row>
    <row r="62" spans="1:2" x14ac:dyDescent="0.25">
      <c r="A62" s="18" t="s">
        <v>135</v>
      </c>
      <c r="B62" s="18">
        <v>16</v>
      </c>
    </row>
    <row r="63" spans="1:2" x14ac:dyDescent="0.25">
      <c r="A63" s="10" t="s">
        <v>124</v>
      </c>
      <c r="B63" s="10">
        <v>506</v>
      </c>
    </row>
    <row r="64" spans="1:2" x14ac:dyDescent="0.25">
      <c r="A64" s="10" t="s">
        <v>99</v>
      </c>
      <c r="B64" s="10">
        <v>101</v>
      </c>
    </row>
    <row r="65" spans="1:2" x14ac:dyDescent="0.25">
      <c r="A65" s="10" t="s">
        <v>86</v>
      </c>
      <c r="B65" s="10">
        <v>101</v>
      </c>
    </row>
    <row r="66" spans="1:2" x14ac:dyDescent="0.25">
      <c r="A66" s="10" t="s">
        <v>94</v>
      </c>
      <c r="B66" s="10">
        <v>101</v>
      </c>
    </row>
    <row r="67" spans="1:2" x14ac:dyDescent="0.25">
      <c r="A67" s="10" t="s">
        <v>96</v>
      </c>
      <c r="B67" s="10">
        <v>101</v>
      </c>
    </row>
    <row r="68" spans="1:2" x14ac:dyDescent="0.25">
      <c r="A68" s="10" t="s">
        <v>87</v>
      </c>
      <c r="B68" s="10">
        <v>101</v>
      </c>
    </row>
    <row r="69" spans="1:2" x14ac:dyDescent="0.25">
      <c r="A69" s="10" t="s">
        <v>123</v>
      </c>
      <c r="B69" s="10">
        <v>84</v>
      </c>
    </row>
    <row r="70" spans="1:2" x14ac:dyDescent="0.25">
      <c r="A70" s="10" t="s">
        <v>98</v>
      </c>
      <c r="B70" s="10">
        <v>16.8</v>
      </c>
    </row>
    <row r="71" spans="1:2" x14ac:dyDescent="0.25">
      <c r="A71" s="10" t="s">
        <v>92</v>
      </c>
      <c r="B71" s="10">
        <v>16.8</v>
      </c>
    </row>
    <row r="72" spans="1:2" x14ac:dyDescent="0.25">
      <c r="A72" s="10" t="s">
        <v>93</v>
      </c>
      <c r="B72" s="10">
        <v>16.8</v>
      </c>
    </row>
    <row r="73" spans="1:2" x14ac:dyDescent="0.25">
      <c r="A73" s="10" t="s">
        <v>95</v>
      </c>
      <c r="B73" s="10">
        <v>16.8</v>
      </c>
    </row>
    <row r="74" spans="1:2" x14ac:dyDescent="0.25">
      <c r="A74" s="10" t="s">
        <v>97</v>
      </c>
      <c r="B74" s="10">
        <v>16.8</v>
      </c>
    </row>
    <row r="75" spans="1:2" x14ac:dyDescent="0.25">
      <c r="A75" s="16" t="s">
        <v>119</v>
      </c>
      <c r="B75" s="16">
        <v>506</v>
      </c>
    </row>
    <row r="76" spans="1:2" x14ac:dyDescent="0.25">
      <c r="A76" s="16" t="s">
        <v>120</v>
      </c>
      <c r="B76" s="16">
        <v>101</v>
      </c>
    </row>
    <row r="77" spans="1:2" x14ac:dyDescent="0.25">
      <c r="A77" s="16" t="s">
        <v>114</v>
      </c>
      <c r="B77" s="16">
        <v>101</v>
      </c>
    </row>
    <row r="78" spans="1:2" x14ac:dyDescent="0.25">
      <c r="A78" s="16" t="s">
        <v>115</v>
      </c>
      <c r="B78" s="16">
        <v>101</v>
      </c>
    </row>
    <row r="79" spans="1:2" x14ac:dyDescent="0.25">
      <c r="A79" s="16" t="s">
        <v>117</v>
      </c>
      <c r="B79" s="16">
        <v>101</v>
      </c>
    </row>
    <row r="80" spans="1:2" x14ac:dyDescent="0.25">
      <c r="A80" s="16" t="s">
        <v>121</v>
      </c>
      <c r="B80" s="16">
        <v>101</v>
      </c>
    </row>
    <row r="81" spans="1:2" x14ac:dyDescent="0.25">
      <c r="A81" s="16" t="s">
        <v>109</v>
      </c>
      <c r="B81" s="16">
        <v>84</v>
      </c>
    </row>
    <row r="82" spans="1:2" x14ac:dyDescent="0.25">
      <c r="A82" s="16" t="s">
        <v>88</v>
      </c>
      <c r="B82" s="16">
        <v>16.8</v>
      </c>
    </row>
    <row r="83" spans="1:2" x14ac:dyDescent="0.25">
      <c r="A83" s="16" t="s">
        <v>195</v>
      </c>
      <c r="B83" s="16">
        <v>16</v>
      </c>
    </row>
    <row r="84" spans="1:2" x14ac:dyDescent="0.25">
      <c r="A84" s="16" t="s">
        <v>116</v>
      </c>
      <c r="B84" s="16">
        <v>16</v>
      </c>
    </row>
    <row r="85" spans="1:2" x14ac:dyDescent="0.25">
      <c r="A85" s="16" t="s">
        <v>118</v>
      </c>
      <c r="B85" s="16">
        <v>16</v>
      </c>
    </row>
    <row r="86" spans="1:2" x14ac:dyDescent="0.25">
      <c r="A86" s="16" t="s">
        <v>122</v>
      </c>
      <c r="B86" s="16">
        <v>16</v>
      </c>
    </row>
    <row r="87" spans="1:2" x14ac:dyDescent="0.25">
      <c r="A87" s="23" t="s">
        <v>188</v>
      </c>
      <c r="B87" s="23">
        <v>506</v>
      </c>
    </row>
    <row r="88" spans="1:2" x14ac:dyDescent="0.25">
      <c r="A88" s="23" t="s">
        <v>164</v>
      </c>
      <c r="B88" s="23">
        <v>101</v>
      </c>
    </row>
    <row r="89" spans="1:2" x14ac:dyDescent="0.25">
      <c r="A89" s="23" t="s">
        <v>166</v>
      </c>
      <c r="B89" s="23">
        <v>101</v>
      </c>
    </row>
    <row r="90" spans="1:2" x14ac:dyDescent="0.25">
      <c r="A90" s="23" t="s">
        <v>167</v>
      </c>
      <c r="B90" s="23">
        <v>101</v>
      </c>
    </row>
    <row r="91" spans="1:2" x14ac:dyDescent="0.25">
      <c r="A91" s="23" t="s">
        <v>169</v>
      </c>
      <c r="B91" s="23">
        <v>101</v>
      </c>
    </row>
    <row r="92" spans="1:2" x14ac:dyDescent="0.25">
      <c r="A92" s="23" t="s">
        <v>170</v>
      </c>
      <c r="B92" s="23">
        <v>101</v>
      </c>
    </row>
    <row r="93" spans="1:2" x14ac:dyDescent="0.25">
      <c r="A93" s="23" t="s">
        <v>172</v>
      </c>
      <c r="B93" s="23">
        <v>84</v>
      </c>
    </row>
    <row r="94" spans="1:2" x14ac:dyDescent="0.25">
      <c r="A94" s="23" t="s">
        <v>163</v>
      </c>
      <c r="B94" s="23">
        <v>16</v>
      </c>
    </row>
    <row r="95" spans="1:2" x14ac:dyDescent="0.25">
      <c r="A95" s="23" t="s">
        <v>165</v>
      </c>
      <c r="B95" s="23">
        <v>16</v>
      </c>
    </row>
    <row r="96" spans="1:2" x14ac:dyDescent="0.25">
      <c r="A96" s="23" t="s">
        <v>173</v>
      </c>
      <c r="B96" s="23">
        <v>16</v>
      </c>
    </row>
    <row r="97" spans="1:2" x14ac:dyDescent="0.25">
      <c r="A97" s="23" t="s">
        <v>168</v>
      </c>
      <c r="B97" s="23">
        <v>16</v>
      </c>
    </row>
    <row r="98" spans="1:2" x14ac:dyDescent="0.25">
      <c r="A98" s="23" t="s">
        <v>171</v>
      </c>
      <c r="B98" s="23">
        <v>16</v>
      </c>
    </row>
    <row r="99" spans="1:2" x14ac:dyDescent="0.25">
      <c r="A99" s="2" t="s">
        <v>67</v>
      </c>
      <c r="B99" s="2">
        <v>10</v>
      </c>
    </row>
    <row r="100" spans="1:2" x14ac:dyDescent="0.25">
      <c r="A100" s="2" t="s">
        <v>68</v>
      </c>
      <c r="B100" s="2">
        <v>10</v>
      </c>
    </row>
    <row r="101" spans="1:2" x14ac:dyDescent="0.25">
      <c r="A101" s="2" t="s">
        <v>69</v>
      </c>
      <c r="B101" s="2">
        <v>10</v>
      </c>
    </row>
    <row r="102" spans="1:2" x14ac:dyDescent="0.25">
      <c r="A102" s="2" t="s">
        <v>70</v>
      </c>
      <c r="B102" s="2">
        <v>10</v>
      </c>
    </row>
    <row r="103" spans="1:2" x14ac:dyDescent="0.25">
      <c r="A103" s="2" t="s">
        <v>71</v>
      </c>
      <c r="B103" s="2">
        <v>10</v>
      </c>
    </row>
    <row r="104" spans="1:2" x14ac:dyDescent="0.25">
      <c r="A104" s="2" t="s">
        <v>89</v>
      </c>
      <c r="B104" s="2">
        <v>101</v>
      </c>
    </row>
    <row r="105" spans="1:2" x14ac:dyDescent="0.25">
      <c r="A105" s="2" t="s">
        <v>90</v>
      </c>
      <c r="B105" s="2">
        <v>101</v>
      </c>
    </row>
    <row r="106" spans="1:2" x14ac:dyDescent="0.25">
      <c r="A106" s="2" t="s">
        <v>91</v>
      </c>
      <c r="B106" s="2">
        <v>111</v>
      </c>
    </row>
    <row r="107" spans="1:2" x14ac:dyDescent="0.25">
      <c r="A107" s="2" t="s">
        <v>78</v>
      </c>
      <c r="B107" s="2">
        <v>640</v>
      </c>
    </row>
    <row r="108" spans="1:2" x14ac:dyDescent="0.25">
      <c r="A108" s="2" t="s">
        <v>79</v>
      </c>
      <c r="B108" s="2">
        <v>640</v>
      </c>
    </row>
    <row r="109" spans="1:2" x14ac:dyDescent="0.25">
      <c r="A109" s="2" t="s">
        <v>80</v>
      </c>
      <c r="B109" s="2">
        <v>640</v>
      </c>
    </row>
    <row r="110" spans="1:2" x14ac:dyDescent="0.25">
      <c r="A110" s="2" t="s">
        <v>81</v>
      </c>
      <c r="B110" s="2">
        <v>640</v>
      </c>
    </row>
    <row r="111" spans="1:2" x14ac:dyDescent="0.25">
      <c r="A111" s="2" t="s">
        <v>83</v>
      </c>
      <c r="B111" s="2">
        <v>640</v>
      </c>
    </row>
    <row r="112" spans="1:2" x14ac:dyDescent="0.25">
      <c r="A112" s="2" t="s">
        <v>82</v>
      </c>
      <c r="B112" s="2">
        <v>640</v>
      </c>
    </row>
    <row r="113" spans="1:2" x14ac:dyDescent="0.25">
      <c r="A113" s="2" t="s">
        <v>112</v>
      </c>
      <c r="B113" s="2">
        <v>75</v>
      </c>
    </row>
    <row r="114" spans="1:2" x14ac:dyDescent="0.25">
      <c r="A114" s="2" t="s">
        <v>102</v>
      </c>
      <c r="B114" s="2">
        <v>84</v>
      </c>
    </row>
    <row r="115" spans="1:2" x14ac:dyDescent="0.25">
      <c r="A115" s="2" t="s">
        <v>103</v>
      </c>
      <c r="B115" s="2">
        <v>16.8</v>
      </c>
    </row>
    <row r="116" spans="1:2" x14ac:dyDescent="0.25">
      <c r="A116" s="2" t="s">
        <v>104</v>
      </c>
      <c r="B116" s="2">
        <v>24</v>
      </c>
    </row>
    <row r="117" spans="1:2" x14ac:dyDescent="0.25">
      <c r="A117" s="2" t="s">
        <v>105</v>
      </c>
      <c r="B117" s="2">
        <v>16.8</v>
      </c>
    </row>
    <row r="118" spans="1:2" x14ac:dyDescent="0.25">
      <c r="A118" s="2" t="s">
        <v>106</v>
      </c>
      <c r="B118" s="2">
        <v>16.8</v>
      </c>
    </row>
    <row r="119" spans="1:2" x14ac:dyDescent="0.25">
      <c r="A119" s="2" t="s">
        <v>107</v>
      </c>
      <c r="B119" s="2">
        <v>17.8</v>
      </c>
    </row>
    <row r="120" spans="1:2" x14ac:dyDescent="0.25">
      <c r="A120" s="2" t="s">
        <v>108</v>
      </c>
      <c r="B120" s="2">
        <v>16.8</v>
      </c>
    </row>
    <row r="121" spans="1:2" x14ac:dyDescent="0.25">
      <c r="A121" s="2" t="s">
        <v>111</v>
      </c>
      <c r="B121" s="2">
        <v>72</v>
      </c>
    </row>
    <row r="122" spans="1:2" x14ac:dyDescent="0.25">
      <c r="A122" s="26" t="s">
        <v>177</v>
      </c>
      <c r="B122" s="26">
        <v>21</v>
      </c>
    </row>
    <row r="123" spans="1:2" x14ac:dyDescent="0.25">
      <c r="A123" s="2" t="s">
        <v>201</v>
      </c>
      <c r="B123" s="2">
        <v>101</v>
      </c>
    </row>
    <row r="124" spans="1:2" x14ac:dyDescent="0.25">
      <c r="A124" s="2" t="s">
        <v>140</v>
      </c>
      <c r="B124" s="2">
        <v>101</v>
      </c>
    </row>
    <row r="125" spans="1:2" x14ac:dyDescent="0.25">
      <c r="A125" s="2" t="s">
        <v>143</v>
      </c>
      <c r="B125" s="2">
        <v>101</v>
      </c>
    </row>
    <row r="126" spans="1:2" x14ac:dyDescent="0.25">
      <c r="A126" s="2" t="s">
        <v>146</v>
      </c>
      <c r="B126" s="2">
        <v>101</v>
      </c>
    </row>
    <row r="127" spans="1:2" x14ac:dyDescent="0.25">
      <c r="A127" s="2" t="s">
        <v>147</v>
      </c>
      <c r="B127" s="2">
        <v>101</v>
      </c>
    </row>
    <row r="128" spans="1:2" x14ac:dyDescent="0.25">
      <c r="A128" s="2" t="s">
        <v>139</v>
      </c>
      <c r="B128" s="2">
        <v>84</v>
      </c>
    </row>
    <row r="129" spans="1:2" x14ac:dyDescent="0.25">
      <c r="A129" s="2" t="s">
        <v>138</v>
      </c>
      <c r="B129" s="2">
        <v>16</v>
      </c>
    </row>
    <row r="130" spans="1:2" x14ac:dyDescent="0.25">
      <c r="A130" s="2" t="s">
        <v>141</v>
      </c>
      <c r="B130" s="2">
        <v>16</v>
      </c>
    </row>
    <row r="131" spans="1:2" x14ac:dyDescent="0.25">
      <c r="A131" s="2" t="s">
        <v>142</v>
      </c>
      <c r="B131" s="2">
        <v>16</v>
      </c>
    </row>
    <row r="132" spans="1:2" x14ac:dyDescent="0.25">
      <c r="A132" s="2" t="s">
        <v>144</v>
      </c>
      <c r="B132" s="2">
        <v>16</v>
      </c>
    </row>
    <row r="133" spans="1:2" x14ac:dyDescent="0.25">
      <c r="A133" s="2" t="s">
        <v>145</v>
      </c>
      <c r="B133" s="2">
        <v>16</v>
      </c>
    </row>
    <row r="134" spans="1:2" x14ac:dyDescent="0.25">
      <c r="A134" s="2" t="s">
        <v>156</v>
      </c>
      <c r="B134" s="2">
        <v>34</v>
      </c>
    </row>
    <row r="135" spans="1:2" x14ac:dyDescent="0.25">
      <c r="A135" s="2" t="s">
        <v>157</v>
      </c>
      <c r="B135" s="2">
        <v>33</v>
      </c>
    </row>
    <row r="136" spans="1:2" x14ac:dyDescent="0.25">
      <c r="A136" s="2" t="s">
        <v>151</v>
      </c>
      <c r="B136" s="2">
        <v>33</v>
      </c>
    </row>
    <row r="137" spans="1:2" x14ac:dyDescent="0.25">
      <c r="A137" s="2" t="s">
        <v>158</v>
      </c>
      <c r="B137" s="2">
        <v>33</v>
      </c>
    </row>
    <row r="138" spans="1:2" x14ac:dyDescent="0.25">
      <c r="A138" s="2" t="s">
        <v>153</v>
      </c>
      <c r="B138" s="2">
        <v>33</v>
      </c>
    </row>
    <row r="139" spans="1:2" x14ac:dyDescent="0.25">
      <c r="A139" s="2" t="s">
        <v>160</v>
      </c>
      <c r="B139" s="2">
        <v>33</v>
      </c>
    </row>
    <row r="140" spans="1:2" x14ac:dyDescent="0.25">
      <c r="A140" s="2" t="s">
        <v>161</v>
      </c>
      <c r="B140" s="2">
        <v>29</v>
      </c>
    </row>
    <row r="141" spans="1:2" x14ac:dyDescent="0.25">
      <c r="A141" s="2" t="s">
        <v>149</v>
      </c>
      <c r="B141" s="2">
        <v>5</v>
      </c>
    </row>
    <row r="142" spans="1:2" x14ac:dyDescent="0.25">
      <c r="A142" s="2" t="s">
        <v>150</v>
      </c>
      <c r="B142" s="2">
        <v>5</v>
      </c>
    </row>
    <row r="143" spans="1:2" x14ac:dyDescent="0.25">
      <c r="A143" s="2" t="s">
        <v>152</v>
      </c>
      <c r="B143" s="2">
        <v>5</v>
      </c>
    </row>
    <row r="144" spans="1:2" x14ac:dyDescent="0.25">
      <c r="A144" s="2" t="s">
        <v>159</v>
      </c>
      <c r="B144" s="2">
        <v>5</v>
      </c>
    </row>
    <row r="145" spans="1:2" x14ac:dyDescent="0.25">
      <c r="A145" s="2" t="s">
        <v>154</v>
      </c>
      <c r="B145" s="2">
        <v>5</v>
      </c>
    </row>
    <row r="146" spans="1:2" x14ac:dyDescent="0.25">
      <c r="A146" s="2" t="s">
        <v>155</v>
      </c>
      <c r="B146" s="2">
        <v>5</v>
      </c>
    </row>
    <row r="147" spans="1:2" x14ac:dyDescent="0.25">
      <c r="A147" s="2" t="s">
        <v>19</v>
      </c>
      <c r="B147" s="2">
        <v>45</v>
      </c>
    </row>
    <row r="148" spans="1:2" x14ac:dyDescent="0.25">
      <c r="A148" s="2" t="s">
        <v>198</v>
      </c>
      <c r="B148" s="2">
        <v>130</v>
      </c>
    </row>
    <row r="149" spans="1:2" x14ac:dyDescent="0.25">
      <c r="A149" s="2" t="s">
        <v>196</v>
      </c>
      <c r="B149" s="2">
        <v>405</v>
      </c>
    </row>
    <row r="150" spans="1:2" x14ac:dyDescent="0.25">
      <c r="A150" s="2" t="s">
        <v>197</v>
      </c>
      <c r="B150" s="2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2B851-871A-4D46-A93C-222C36656EE5}">
  <dimension ref="B2:AO205"/>
  <sheetViews>
    <sheetView topLeftCell="A3" workbookViewId="0">
      <selection activeCell="F6" sqref="F6"/>
    </sheetView>
  </sheetViews>
  <sheetFormatPr baseColWidth="10" defaultRowHeight="15" x14ac:dyDescent="0.25"/>
  <cols>
    <col min="1" max="1" width="11.42578125" style="1"/>
    <col min="2" max="2" width="17.42578125" style="1" bestFit="1" customWidth="1"/>
    <col min="3" max="3" width="11.42578125" style="1"/>
    <col min="4" max="4" width="30.85546875" style="1" bestFit="1" customWidth="1"/>
    <col min="5" max="5" width="9.140625" style="1" customWidth="1"/>
    <col min="6" max="6" width="12.5703125" style="1" bestFit="1" customWidth="1"/>
    <col min="7" max="7" width="13.7109375" style="13" bestFit="1" customWidth="1"/>
    <col min="8" max="8" width="19.7109375" style="1" bestFit="1" customWidth="1"/>
    <col min="9" max="9" width="4.5703125" style="1" bestFit="1" customWidth="1"/>
    <col min="10" max="10" width="15.5703125" style="1" bestFit="1" customWidth="1"/>
    <col min="11" max="11" width="6.5703125" style="1" bestFit="1" customWidth="1"/>
    <col min="12" max="12" width="12.5703125" style="1" customWidth="1"/>
    <col min="13" max="13" width="25.85546875" style="1" bestFit="1" customWidth="1"/>
    <col min="14" max="14" width="14.5703125" style="1" bestFit="1" customWidth="1"/>
    <col min="15" max="15" width="22.85546875" style="1" bestFit="1" customWidth="1"/>
    <col min="16" max="16" width="4.28515625" style="1" bestFit="1" customWidth="1"/>
    <col min="17" max="17" width="12.7109375" style="1" bestFit="1" customWidth="1"/>
    <col min="18" max="18" width="12.5703125" style="33" bestFit="1" customWidth="1"/>
    <col min="19" max="41" width="11.42578125" style="33"/>
    <col min="42" max="16384" width="11.42578125" style="1"/>
  </cols>
  <sheetData>
    <row r="2" spans="2:16" ht="21" x14ac:dyDescent="0.25">
      <c r="B2" s="3" t="s">
        <v>0</v>
      </c>
    </row>
    <row r="3" spans="2:16" x14ac:dyDescent="0.25">
      <c r="L3" s="21"/>
      <c r="M3" s="21"/>
      <c r="N3" s="21"/>
      <c r="O3" s="21"/>
      <c r="P3" s="21"/>
    </row>
    <row r="4" spans="2:16" x14ac:dyDescent="0.25">
      <c r="D4" s="45" t="s">
        <v>36</v>
      </c>
      <c r="E4" s="45"/>
      <c r="F4" s="45"/>
      <c r="G4" s="45"/>
      <c r="L4" s="21"/>
      <c r="M4" s="4" t="s">
        <v>181</v>
      </c>
      <c r="N4" s="32">
        <v>179592</v>
      </c>
      <c r="O4" s="21"/>
      <c r="P4" s="21"/>
    </row>
    <row r="5" spans="2:16" x14ac:dyDescent="0.25">
      <c r="D5" s="5" t="s">
        <v>1</v>
      </c>
      <c r="E5" s="5" t="s">
        <v>2</v>
      </c>
      <c r="F5" s="5" t="s">
        <v>9</v>
      </c>
      <c r="G5" s="14" t="s">
        <v>10</v>
      </c>
      <c r="L5" s="21"/>
      <c r="M5" s="4" t="s">
        <v>185</v>
      </c>
      <c r="N5" s="4">
        <v>500</v>
      </c>
      <c r="O5" s="21"/>
      <c r="P5" s="21"/>
    </row>
    <row r="6" spans="2:16" x14ac:dyDescent="0.25">
      <c r="D6" s="2" t="s">
        <v>37</v>
      </c>
      <c r="E6" s="2">
        <v>11</v>
      </c>
      <c r="F6" s="6">
        <f>N$5/E6</f>
        <v>45.454545454545453</v>
      </c>
      <c r="G6" s="25">
        <f>N$15/F6</f>
        <v>274.98162501670453</v>
      </c>
      <c r="L6" s="21"/>
      <c r="M6" s="4" t="s">
        <v>186</v>
      </c>
      <c r="N6" s="4">
        <f>N4/N5</f>
        <v>359.18400000000003</v>
      </c>
      <c r="O6" s="21"/>
      <c r="P6" s="21"/>
    </row>
    <row r="7" spans="2:16" x14ac:dyDescent="0.25">
      <c r="D7" s="2" t="s">
        <v>38</v>
      </c>
      <c r="E7" s="2">
        <v>11</v>
      </c>
      <c r="F7" s="6">
        <f>N$5/E7</f>
        <v>45.454545454545453</v>
      </c>
      <c r="G7" s="25">
        <f>N$15/F7</f>
        <v>274.98162501670453</v>
      </c>
      <c r="L7" s="21"/>
      <c r="M7" s="21"/>
      <c r="N7" s="21"/>
      <c r="O7" s="21"/>
      <c r="P7" s="21"/>
    </row>
    <row r="8" spans="2:16" x14ac:dyDescent="0.25">
      <c r="D8" s="2" t="s">
        <v>39</v>
      </c>
      <c r="E8" s="2">
        <v>10</v>
      </c>
      <c r="F8" s="6">
        <f>N$5/E8</f>
        <v>50</v>
      </c>
      <c r="G8" s="25">
        <f>N$15/F8</f>
        <v>249.98329546973139</v>
      </c>
      <c r="L8" s="21"/>
      <c r="M8" s="4" t="s">
        <v>75</v>
      </c>
      <c r="N8" s="4" t="s">
        <v>76</v>
      </c>
      <c r="O8" s="36" t="s">
        <v>178</v>
      </c>
      <c r="P8" s="21"/>
    </row>
    <row r="9" spans="2:16" x14ac:dyDescent="0.25">
      <c r="D9" s="2" t="s">
        <v>40</v>
      </c>
      <c r="E9" s="2">
        <v>13</v>
      </c>
      <c r="F9" s="6">
        <f>N$5/E9</f>
        <v>38.46153846153846</v>
      </c>
      <c r="G9" s="25">
        <f>N$15/F9</f>
        <v>324.9782841106508</v>
      </c>
      <c r="L9" s="21"/>
      <c r="M9" s="5" t="s">
        <v>72</v>
      </c>
      <c r="N9" s="31">
        <v>6900000</v>
      </c>
      <c r="O9" s="37"/>
      <c r="P9" s="21"/>
    </row>
    <row r="10" spans="2:16" x14ac:dyDescent="0.25">
      <c r="L10" s="21"/>
      <c r="M10" s="5" t="s">
        <v>182</v>
      </c>
      <c r="N10" s="34">
        <v>750000</v>
      </c>
      <c r="O10" s="37"/>
      <c r="P10" s="21"/>
    </row>
    <row r="11" spans="2:16" x14ac:dyDescent="0.25">
      <c r="D11" s="45" t="s">
        <v>52</v>
      </c>
      <c r="E11" s="45"/>
      <c r="F11" s="45"/>
      <c r="G11" s="45"/>
      <c r="L11" s="21"/>
      <c r="M11" s="4" t="s">
        <v>162</v>
      </c>
      <c r="N11" s="7">
        <f>N9-N10</f>
        <v>6150000</v>
      </c>
      <c r="O11" s="38"/>
      <c r="P11" s="21"/>
    </row>
    <row r="12" spans="2:16" x14ac:dyDescent="0.25">
      <c r="D12" s="5" t="s">
        <v>1</v>
      </c>
      <c r="E12" s="5" t="s">
        <v>2</v>
      </c>
      <c r="F12" s="5" t="s">
        <v>9</v>
      </c>
      <c r="G12" s="14" t="s">
        <v>10</v>
      </c>
      <c r="L12" s="21"/>
      <c r="M12" s="21"/>
      <c r="N12" s="21"/>
      <c r="O12" s="21"/>
      <c r="P12" s="21"/>
    </row>
    <row r="13" spans="2:16" x14ac:dyDescent="0.25">
      <c r="D13" s="2" t="s">
        <v>47</v>
      </c>
      <c r="E13" s="2">
        <v>19</v>
      </c>
      <c r="F13" s="6">
        <f>N$5/E13</f>
        <v>26.315789473684209</v>
      </c>
      <c r="G13" s="25">
        <f>N$15/F13</f>
        <v>474.96826139248964</v>
      </c>
      <c r="L13" s="21"/>
      <c r="M13" s="5" t="s">
        <v>184</v>
      </c>
      <c r="N13" s="35">
        <v>0.27</v>
      </c>
      <c r="O13" s="21"/>
      <c r="P13" s="21"/>
    </row>
    <row r="14" spans="2:16" x14ac:dyDescent="0.25">
      <c r="D14" s="2" t="s">
        <v>48</v>
      </c>
      <c r="E14" s="2">
        <v>16</v>
      </c>
      <c r="F14" s="6">
        <f>N$5/E14</f>
        <v>31.25</v>
      </c>
      <c r="G14" s="25">
        <f>N$15/F14</f>
        <v>399.97327275157022</v>
      </c>
      <c r="L14" s="21"/>
      <c r="M14" s="4" t="s">
        <v>183</v>
      </c>
      <c r="N14" s="8">
        <f>N11-(N11*N13)</f>
        <v>4489500</v>
      </c>
      <c r="O14" s="20" t="s">
        <v>179</v>
      </c>
      <c r="P14" s="21"/>
    </row>
    <row r="15" spans="2:16" x14ac:dyDescent="0.25">
      <c r="D15" s="2" t="s">
        <v>49</v>
      </c>
      <c r="E15" s="2">
        <v>20</v>
      </c>
      <c r="F15" s="6">
        <f>N$5/E15</f>
        <v>25</v>
      </c>
      <c r="G15" s="25">
        <f>N$15/F15</f>
        <v>499.96659093946278</v>
      </c>
      <c r="L15" s="21"/>
      <c r="M15" s="4" t="s">
        <v>85</v>
      </c>
      <c r="N15" s="12">
        <f>N14/N6</f>
        <v>12499.164773486569</v>
      </c>
      <c r="O15" s="20" t="s">
        <v>180</v>
      </c>
      <c r="P15" s="21"/>
    </row>
    <row r="16" spans="2:16" x14ac:dyDescent="0.25">
      <c r="D16" s="2" t="s">
        <v>50</v>
      </c>
      <c r="E16" s="2">
        <v>18</v>
      </c>
      <c r="F16" s="6">
        <f>N$5/E16</f>
        <v>27.777777777777779</v>
      </c>
      <c r="G16" s="25">
        <f>N$15/F16</f>
        <v>449.9699318455165</v>
      </c>
      <c r="L16" s="21"/>
      <c r="M16" s="21"/>
      <c r="N16" s="21"/>
      <c r="O16" s="21"/>
      <c r="P16" s="21"/>
    </row>
    <row r="17" spans="4:7" x14ac:dyDescent="0.25">
      <c r="D17" s="2" t="s">
        <v>51</v>
      </c>
      <c r="E17" s="2">
        <v>19</v>
      </c>
      <c r="F17" s="6">
        <f>N$5/E17</f>
        <v>26.315789473684209</v>
      </c>
      <c r="G17" s="25">
        <f>N$15/F17</f>
        <v>474.96826139248964</v>
      </c>
    </row>
    <row r="19" spans="4:7" x14ac:dyDescent="0.25">
      <c r="D19" s="45" t="s">
        <v>41</v>
      </c>
      <c r="E19" s="45"/>
      <c r="F19" s="45"/>
      <c r="G19" s="45"/>
    </row>
    <row r="20" spans="4:7" x14ac:dyDescent="0.25">
      <c r="D20" s="5" t="s">
        <v>1</v>
      </c>
      <c r="E20" s="5" t="s">
        <v>2</v>
      </c>
      <c r="F20" s="5" t="s">
        <v>9</v>
      </c>
      <c r="G20" s="14" t="s">
        <v>10</v>
      </c>
    </row>
    <row r="21" spans="4:7" x14ac:dyDescent="0.25">
      <c r="D21" s="2" t="s">
        <v>42</v>
      </c>
      <c r="E21" s="2">
        <v>19</v>
      </c>
      <c r="F21" s="6">
        <f>N$5/E21</f>
        <v>26.315789473684209</v>
      </c>
      <c r="G21" s="25">
        <f>N$15/F21</f>
        <v>474.96826139248964</v>
      </c>
    </row>
    <row r="22" spans="4:7" x14ac:dyDescent="0.25">
      <c r="D22" s="2" t="s">
        <v>43</v>
      </c>
      <c r="E22" s="2">
        <v>17</v>
      </c>
      <c r="F22" s="6">
        <f>N$5/E22</f>
        <v>29.411764705882351</v>
      </c>
      <c r="G22" s="25">
        <f>N$15/F22</f>
        <v>424.97160229854336</v>
      </c>
    </row>
    <row r="23" spans="4:7" x14ac:dyDescent="0.25">
      <c r="D23" s="2" t="s">
        <v>44</v>
      </c>
      <c r="E23" s="2">
        <v>17</v>
      </c>
      <c r="F23" s="6">
        <f>N$5/E23</f>
        <v>29.411764705882351</v>
      </c>
      <c r="G23" s="25">
        <f>N$15/F23</f>
        <v>424.97160229854336</v>
      </c>
    </row>
    <row r="24" spans="4:7" x14ac:dyDescent="0.25">
      <c r="D24" s="2" t="s">
        <v>45</v>
      </c>
      <c r="E24" s="2">
        <v>16</v>
      </c>
      <c r="F24" s="6">
        <f>N$5/E24</f>
        <v>31.25</v>
      </c>
      <c r="G24" s="25">
        <f>N$15/F24</f>
        <v>399.97327275157022</v>
      </c>
    </row>
    <row r="25" spans="4:7" x14ac:dyDescent="0.25">
      <c r="D25" s="2" t="s">
        <v>46</v>
      </c>
      <c r="E25" s="2">
        <v>20</v>
      </c>
      <c r="F25" s="6">
        <f>N$5/E25</f>
        <v>25</v>
      </c>
      <c r="G25" s="25">
        <f>N$15/F25</f>
        <v>499.96659093946278</v>
      </c>
    </row>
    <row r="27" spans="4:7" x14ac:dyDescent="0.25">
      <c r="D27" s="45" t="s">
        <v>53</v>
      </c>
      <c r="E27" s="45"/>
      <c r="F27" s="45"/>
      <c r="G27" s="45"/>
    </row>
    <row r="28" spans="4:7" x14ac:dyDescent="0.25">
      <c r="D28" s="5" t="s">
        <v>1</v>
      </c>
      <c r="E28" s="5" t="s">
        <v>2</v>
      </c>
      <c r="F28" s="5" t="s">
        <v>9</v>
      </c>
      <c r="G28" s="14" t="s">
        <v>10</v>
      </c>
    </row>
    <row r="29" spans="4:7" x14ac:dyDescent="0.25">
      <c r="D29" s="2" t="s">
        <v>55</v>
      </c>
      <c r="E29" s="2">
        <v>28</v>
      </c>
      <c r="F29" s="6">
        <f t="shared" ref="F29:F34" si="0">N$5/E29</f>
        <v>17.857142857142858</v>
      </c>
      <c r="G29" s="25">
        <f t="shared" ref="G29:G34" si="1">N$15/F29</f>
        <v>699.95322731524789</v>
      </c>
    </row>
    <row r="30" spans="4:7" x14ac:dyDescent="0.25">
      <c r="D30" s="2" t="s">
        <v>56</v>
      </c>
      <c r="E30" s="2">
        <v>33</v>
      </c>
      <c r="F30" s="6">
        <f t="shared" si="0"/>
        <v>15.151515151515152</v>
      </c>
      <c r="G30" s="25">
        <f t="shared" si="1"/>
        <v>824.94487505011352</v>
      </c>
    </row>
    <row r="31" spans="4:7" x14ac:dyDescent="0.25">
      <c r="D31" s="2" t="s">
        <v>57</v>
      </c>
      <c r="E31" s="2">
        <v>24</v>
      </c>
      <c r="F31" s="6">
        <f t="shared" si="0"/>
        <v>20.833333333333332</v>
      </c>
      <c r="G31" s="25">
        <f t="shared" si="1"/>
        <v>599.95990912735533</v>
      </c>
    </row>
    <row r="32" spans="4:7" x14ac:dyDescent="0.25">
      <c r="D32" s="2" t="s">
        <v>58</v>
      </c>
      <c r="E32" s="2">
        <v>24</v>
      </c>
      <c r="F32" s="6">
        <f t="shared" si="0"/>
        <v>20.833333333333332</v>
      </c>
      <c r="G32" s="25">
        <f t="shared" si="1"/>
        <v>599.95990912735533</v>
      </c>
    </row>
    <row r="33" spans="4:7" x14ac:dyDescent="0.25">
      <c r="D33" s="2" t="s">
        <v>60</v>
      </c>
      <c r="E33" s="2">
        <v>24</v>
      </c>
      <c r="F33" s="6">
        <f t="shared" si="0"/>
        <v>20.833333333333332</v>
      </c>
      <c r="G33" s="25">
        <f t="shared" si="1"/>
        <v>599.95990912735533</v>
      </c>
    </row>
    <row r="34" spans="4:7" x14ac:dyDescent="0.25">
      <c r="D34" s="2" t="s">
        <v>59</v>
      </c>
      <c r="E34" s="2">
        <v>24</v>
      </c>
      <c r="F34" s="6">
        <f t="shared" si="0"/>
        <v>20.833333333333332</v>
      </c>
      <c r="G34" s="25">
        <f t="shared" si="1"/>
        <v>599.95990912735533</v>
      </c>
    </row>
    <row r="36" spans="4:7" x14ac:dyDescent="0.25">
      <c r="D36" s="45" t="s">
        <v>54</v>
      </c>
      <c r="E36" s="45"/>
      <c r="F36" s="45"/>
      <c r="G36" s="45"/>
    </row>
    <row r="37" spans="4:7" x14ac:dyDescent="0.25">
      <c r="D37" s="5" t="s">
        <v>1</v>
      </c>
      <c r="E37" s="5" t="s">
        <v>2</v>
      </c>
      <c r="F37" s="5" t="s">
        <v>9</v>
      </c>
      <c r="G37" s="14" t="s">
        <v>10</v>
      </c>
    </row>
    <row r="38" spans="4:7" x14ac:dyDescent="0.25">
      <c r="D38" s="2" t="s">
        <v>61</v>
      </c>
      <c r="E38" s="2">
        <v>31</v>
      </c>
      <c r="F38" s="6">
        <f>N$5/E38</f>
        <v>16.129032258064516</v>
      </c>
      <c r="G38" s="25">
        <f>N$15/F38</f>
        <v>774.94821595616725</v>
      </c>
    </row>
    <row r="39" spans="4:7" x14ac:dyDescent="0.25">
      <c r="D39" s="2" t="s">
        <v>62</v>
      </c>
      <c r="E39" s="2">
        <v>34</v>
      </c>
      <c r="F39" s="6">
        <f>N$5/E39</f>
        <v>14.705882352941176</v>
      </c>
      <c r="G39" s="25">
        <f>N$15/F39</f>
        <v>849.94320459708672</v>
      </c>
    </row>
    <row r="40" spans="4:7" x14ac:dyDescent="0.25">
      <c r="D40" s="2" t="s">
        <v>63</v>
      </c>
      <c r="E40" s="2">
        <v>34</v>
      </c>
      <c r="F40" s="6">
        <f>N$5/E40</f>
        <v>14.705882352941176</v>
      </c>
      <c r="G40" s="25">
        <f>N$15/F40</f>
        <v>849.94320459708672</v>
      </c>
    </row>
    <row r="41" spans="4:7" x14ac:dyDescent="0.25">
      <c r="D41" s="2" t="s">
        <v>64</v>
      </c>
      <c r="E41" s="2">
        <v>36</v>
      </c>
      <c r="F41" s="6">
        <f>N$5/E41</f>
        <v>13.888888888888889</v>
      </c>
      <c r="G41" s="25">
        <f>N$15/F41</f>
        <v>899.939863691033</v>
      </c>
    </row>
    <row r="42" spans="4:7" x14ac:dyDescent="0.25">
      <c r="D42" s="2" t="s">
        <v>65</v>
      </c>
      <c r="E42" s="2">
        <v>9</v>
      </c>
      <c r="F42" s="6">
        <f>N$5/E42</f>
        <v>55.555555555555557</v>
      </c>
      <c r="G42" s="25">
        <f>N$15/F42</f>
        <v>224.98496592275825</v>
      </c>
    </row>
    <row r="44" spans="4:7" x14ac:dyDescent="0.25">
      <c r="D44" s="45" t="s">
        <v>3</v>
      </c>
      <c r="E44" s="45"/>
      <c r="F44" s="45"/>
      <c r="G44" s="45"/>
    </row>
    <row r="45" spans="4:7" x14ac:dyDescent="0.25">
      <c r="D45" s="5" t="s">
        <v>1</v>
      </c>
      <c r="E45" s="5" t="s">
        <v>2</v>
      </c>
      <c r="F45" s="5" t="s">
        <v>9</v>
      </c>
      <c r="G45" s="14" t="s">
        <v>10</v>
      </c>
    </row>
    <row r="46" spans="4:7" x14ac:dyDescent="0.25">
      <c r="D46" s="2" t="s">
        <v>4</v>
      </c>
      <c r="E46" s="2">
        <v>40</v>
      </c>
      <c r="F46" s="2">
        <f>N$5/E46</f>
        <v>12.5</v>
      </c>
      <c r="G46" s="25">
        <f>N$15/F46</f>
        <v>999.93318187892555</v>
      </c>
    </row>
    <row r="47" spans="4:7" x14ac:dyDescent="0.25">
      <c r="D47" s="2" t="s">
        <v>5</v>
      </c>
      <c r="E47" s="2">
        <v>40</v>
      </c>
      <c r="F47" s="2">
        <f>N$5/E47</f>
        <v>12.5</v>
      </c>
      <c r="G47" s="25">
        <f>N$15/F47</f>
        <v>999.93318187892555</v>
      </c>
    </row>
    <row r="48" spans="4:7" x14ac:dyDescent="0.25">
      <c r="D48" s="2" t="s">
        <v>6</v>
      </c>
      <c r="E48" s="2">
        <v>40</v>
      </c>
      <c r="F48" s="2">
        <f>N$5/E48</f>
        <v>12.5</v>
      </c>
      <c r="G48" s="25">
        <f>N$15/F48</f>
        <v>999.93318187892555</v>
      </c>
    </row>
    <row r="49" spans="4:7" x14ac:dyDescent="0.25">
      <c r="D49" s="2" t="s">
        <v>7</v>
      </c>
      <c r="E49" s="2">
        <v>40</v>
      </c>
      <c r="F49" s="2">
        <f>N$5/E49</f>
        <v>12.5</v>
      </c>
      <c r="G49" s="25">
        <f>N$15/F49</f>
        <v>999.93318187892555</v>
      </c>
    </row>
    <row r="50" spans="4:7" x14ac:dyDescent="0.25">
      <c r="D50" s="2" t="s">
        <v>8</v>
      </c>
      <c r="E50" s="2">
        <v>40</v>
      </c>
      <c r="F50" s="2">
        <f>N$5/E50</f>
        <v>12.5</v>
      </c>
      <c r="G50" s="25">
        <f>N$15/F50</f>
        <v>999.93318187892555</v>
      </c>
    </row>
    <row r="52" spans="4:7" x14ac:dyDescent="0.25">
      <c r="D52" s="45" t="s">
        <v>11</v>
      </c>
      <c r="E52" s="45"/>
      <c r="F52" s="45"/>
      <c r="G52" s="45"/>
    </row>
    <row r="53" spans="4:7" x14ac:dyDescent="0.25">
      <c r="D53" s="5" t="s">
        <v>1</v>
      </c>
      <c r="E53" s="5" t="s">
        <v>2</v>
      </c>
      <c r="F53" s="5" t="s">
        <v>9</v>
      </c>
      <c r="G53" s="14" t="s">
        <v>10</v>
      </c>
    </row>
    <row r="54" spans="4:7" x14ac:dyDescent="0.25">
      <c r="D54" s="2" t="s">
        <v>176</v>
      </c>
      <c r="E54" s="2">
        <v>48</v>
      </c>
      <c r="F54" s="6">
        <f t="shared" ref="F54:F59" si="2">N$5/E54</f>
        <v>10.416666666666666</v>
      </c>
      <c r="G54" s="25">
        <f t="shared" ref="G54:G59" si="3">N$15/F54</f>
        <v>1199.9198182547107</v>
      </c>
    </row>
    <row r="55" spans="4:7" x14ac:dyDescent="0.25">
      <c r="D55" s="2" t="s">
        <v>12</v>
      </c>
      <c r="E55" s="2">
        <v>51</v>
      </c>
      <c r="F55" s="6">
        <f t="shared" si="2"/>
        <v>9.8039215686274517</v>
      </c>
      <c r="G55" s="25">
        <f t="shared" si="3"/>
        <v>1274.9148068956299</v>
      </c>
    </row>
    <row r="56" spans="4:7" x14ac:dyDescent="0.25">
      <c r="D56" s="2" t="s">
        <v>13</v>
      </c>
      <c r="E56" s="2">
        <v>51</v>
      </c>
      <c r="F56" s="6">
        <f t="shared" si="2"/>
        <v>9.8039215686274517</v>
      </c>
      <c r="G56" s="25">
        <f t="shared" si="3"/>
        <v>1274.9148068956299</v>
      </c>
    </row>
    <row r="57" spans="4:7" x14ac:dyDescent="0.25">
      <c r="D57" s="2" t="s">
        <v>14</v>
      </c>
      <c r="E57" s="2">
        <v>51</v>
      </c>
      <c r="F57" s="6">
        <f t="shared" si="2"/>
        <v>9.8039215686274517</v>
      </c>
      <c r="G57" s="25">
        <f t="shared" si="3"/>
        <v>1274.9148068956299</v>
      </c>
    </row>
    <row r="58" spans="4:7" x14ac:dyDescent="0.25">
      <c r="D58" s="2" t="s">
        <v>20</v>
      </c>
      <c r="E58" s="2">
        <v>51</v>
      </c>
      <c r="F58" s="6">
        <f t="shared" si="2"/>
        <v>9.8039215686274517</v>
      </c>
      <c r="G58" s="25">
        <f t="shared" si="3"/>
        <v>1274.9148068956299</v>
      </c>
    </row>
    <row r="59" spans="4:7" x14ac:dyDescent="0.25">
      <c r="D59" s="2" t="s">
        <v>21</v>
      </c>
      <c r="E59" s="2">
        <v>51</v>
      </c>
      <c r="F59" s="6">
        <f t="shared" si="2"/>
        <v>9.8039215686274517</v>
      </c>
      <c r="G59" s="25">
        <f t="shared" si="3"/>
        <v>1274.9148068956299</v>
      </c>
    </row>
    <row r="61" spans="4:7" x14ac:dyDescent="0.25">
      <c r="D61" s="45" t="s">
        <v>22</v>
      </c>
      <c r="E61" s="45"/>
      <c r="F61" s="45"/>
      <c r="G61" s="45"/>
    </row>
    <row r="62" spans="4:7" x14ac:dyDescent="0.25">
      <c r="D62" s="5" t="s">
        <v>1</v>
      </c>
      <c r="E62" s="5" t="s">
        <v>2</v>
      </c>
      <c r="F62" s="5" t="s">
        <v>9</v>
      </c>
      <c r="G62" s="14" t="s">
        <v>10</v>
      </c>
    </row>
    <row r="63" spans="4:7" x14ac:dyDescent="0.25">
      <c r="D63" s="2" t="s">
        <v>174</v>
      </c>
      <c r="E63" s="2">
        <v>61</v>
      </c>
      <c r="F63" s="6">
        <f t="shared" ref="F63:F69" si="4">N$5/E63</f>
        <v>8.1967213114754092</v>
      </c>
      <c r="G63" s="25">
        <f t="shared" ref="G63:G69" si="5">N$15/F63</f>
        <v>1524.8981023653616</v>
      </c>
    </row>
    <row r="64" spans="4:7" x14ac:dyDescent="0.25">
      <c r="D64" s="2" t="s">
        <v>23</v>
      </c>
      <c r="E64" s="2">
        <v>67</v>
      </c>
      <c r="F64" s="6">
        <f t="shared" si="4"/>
        <v>7.4626865671641793</v>
      </c>
      <c r="G64" s="25">
        <f t="shared" si="5"/>
        <v>1674.8880796472001</v>
      </c>
    </row>
    <row r="65" spans="4:7" x14ac:dyDescent="0.25">
      <c r="D65" s="2" t="s">
        <v>24</v>
      </c>
      <c r="E65" s="2">
        <v>67</v>
      </c>
      <c r="F65" s="6">
        <f t="shared" si="4"/>
        <v>7.4626865671641793</v>
      </c>
      <c r="G65" s="25">
        <f t="shared" si="5"/>
        <v>1674.8880796472001</v>
      </c>
    </row>
    <row r="66" spans="4:7" x14ac:dyDescent="0.25">
      <c r="D66" s="2" t="s">
        <v>25</v>
      </c>
      <c r="E66" s="2">
        <v>67</v>
      </c>
      <c r="F66" s="6">
        <f t="shared" si="4"/>
        <v>7.4626865671641793</v>
      </c>
      <c r="G66" s="25">
        <f t="shared" si="5"/>
        <v>1674.8880796472001</v>
      </c>
    </row>
    <row r="67" spans="4:7" x14ac:dyDescent="0.25">
      <c r="D67" s="2" t="s">
        <v>26</v>
      </c>
      <c r="E67" s="2">
        <v>67</v>
      </c>
      <c r="F67" s="6">
        <f t="shared" si="4"/>
        <v>7.4626865671641793</v>
      </c>
      <c r="G67" s="25">
        <f t="shared" si="5"/>
        <v>1674.8880796472001</v>
      </c>
    </row>
    <row r="68" spans="4:7" x14ac:dyDescent="0.25">
      <c r="D68" s="2" t="s">
        <v>27</v>
      </c>
      <c r="E68" s="2">
        <v>67</v>
      </c>
      <c r="F68" s="6">
        <f t="shared" si="4"/>
        <v>7.4626865671641793</v>
      </c>
      <c r="G68" s="25">
        <f t="shared" si="5"/>
        <v>1674.8880796472001</v>
      </c>
    </row>
    <row r="69" spans="4:7" x14ac:dyDescent="0.25">
      <c r="D69" s="2" t="s">
        <v>28</v>
      </c>
      <c r="E69" s="2">
        <v>69</v>
      </c>
      <c r="F69" s="6">
        <f t="shared" si="4"/>
        <v>7.2463768115942031</v>
      </c>
      <c r="G69" s="25">
        <f t="shared" si="5"/>
        <v>1724.8847387411465</v>
      </c>
    </row>
    <row r="71" spans="4:7" x14ac:dyDescent="0.25">
      <c r="D71" s="45" t="s">
        <v>29</v>
      </c>
      <c r="E71" s="45"/>
      <c r="F71" s="45"/>
      <c r="G71" s="45"/>
    </row>
    <row r="72" spans="4:7" x14ac:dyDescent="0.25">
      <c r="D72" s="5" t="s">
        <v>1</v>
      </c>
      <c r="E72" s="5" t="s">
        <v>2</v>
      </c>
      <c r="F72" s="5" t="s">
        <v>9</v>
      </c>
      <c r="G72" s="14" t="s">
        <v>10</v>
      </c>
    </row>
    <row r="73" spans="4:7" x14ac:dyDescent="0.25">
      <c r="D73" s="2" t="s">
        <v>30</v>
      </c>
      <c r="E73" s="2">
        <v>75</v>
      </c>
      <c r="F73" s="6">
        <f t="shared" ref="F73:F78" si="6">N$5/E73</f>
        <v>6.666666666666667</v>
      </c>
      <c r="G73" s="25">
        <f t="shared" ref="G73:G78" si="7">N$15/F73</f>
        <v>1874.8747160229852</v>
      </c>
    </row>
    <row r="74" spans="4:7" x14ac:dyDescent="0.25">
      <c r="D74" s="2" t="s">
        <v>31</v>
      </c>
      <c r="E74" s="2">
        <v>75</v>
      </c>
      <c r="F74" s="6">
        <f t="shared" si="6"/>
        <v>6.666666666666667</v>
      </c>
      <c r="G74" s="25">
        <f t="shared" si="7"/>
        <v>1874.8747160229852</v>
      </c>
    </row>
    <row r="75" spans="4:7" x14ac:dyDescent="0.25">
      <c r="D75" s="2" t="s">
        <v>32</v>
      </c>
      <c r="E75" s="2">
        <v>75</v>
      </c>
      <c r="F75" s="6">
        <f t="shared" si="6"/>
        <v>6.666666666666667</v>
      </c>
      <c r="G75" s="25">
        <f t="shared" si="7"/>
        <v>1874.8747160229852</v>
      </c>
    </row>
    <row r="76" spans="4:7" x14ac:dyDescent="0.25">
      <c r="D76" s="2" t="s">
        <v>33</v>
      </c>
      <c r="E76" s="2">
        <v>75</v>
      </c>
      <c r="F76" s="6">
        <f t="shared" si="6"/>
        <v>6.666666666666667</v>
      </c>
      <c r="G76" s="25">
        <f t="shared" si="7"/>
        <v>1874.8747160229852</v>
      </c>
    </row>
    <row r="77" spans="4:7" x14ac:dyDescent="0.25">
      <c r="D77" s="2" t="s">
        <v>34</v>
      </c>
      <c r="E77" s="2">
        <v>75</v>
      </c>
      <c r="F77" s="6">
        <f t="shared" si="6"/>
        <v>6.666666666666667</v>
      </c>
      <c r="G77" s="25">
        <f t="shared" si="7"/>
        <v>1874.8747160229852</v>
      </c>
    </row>
    <row r="78" spans="4:7" x14ac:dyDescent="0.25">
      <c r="D78" s="2" t="s">
        <v>35</v>
      </c>
      <c r="E78" s="2">
        <v>75</v>
      </c>
      <c r="F78" s="6">
        <f t="shared" si="6"/>
        <v>6.666666666666667</v>
      </c>
      <c r="G78" s="25">
        <f t="shared" si="7"/>
        <v>1874.8747160229852</v>
      </c>
    </row>
    <row r="80" spans="4:7" x14ac:dyDescent="0.25">
      <c r="D80" s="45" t="s">
        <v>84</v>
      </c>
      <c r="E80" s="45"/>
      <c r="F80" s="45"/>
      <c r="G80" s="45"/>
    </row>
    <row r="81" spans="4:7" x14ac:dyDescent="0.25">
      <c r="D81" s="5" t="s">
        <v>1</v>
      </c>
      <c r="E81" s="5" t="s">
        <v>2</v>
      </c>
      <c r="F81" s="5" t="s">
        <v>9</v>
      </c>
      <c r="G81" s="14" t="s">
        <v>10</v>
      </c>
    </row>
    <row r="82" spans="4:7" x14ac:dyDescent="0.25">
      <c r="D82" s="39" t="s">
        <v>189</v>
      </c>
      <c r="E82" s="40"/>
      <c r="F82" s="40"/>
      <c r="G82" s="41"/>
    </row>
    <row r="83" spans="4:7" x14ac:dyDescent="0.25">
      <c r="D83" s="18" t="s">
        <v>125</v>
      </c>
      <c r="E83" s="18">
        <v>506</v>
      </c>
      <c r="F83" s="19">
        <f t="shared" ref="F83:F94" si="8">N$5/E83</f>
        <v>0.98814229249011853</v>
      </c>
      <c r="G83" s="28">
        <f t="shared" ref="G83:G94" si="9">N$15/F83</f>
        <v>12649.154750768408</v>
      </c>
    </row>
    <row r="84" spans="4:7" x14ac:dyDescent="0.25">
      <c r="D84" s="18" t="s">
        <v>126</v>
      </c>
      <c r="E84" s="18">
        <v>101</v>
      </c>
      <c r="F84" s="19">
        <f t="shared" si="8"/>
        <v>4.9504950495049505</v>
      </c>
      <c r="G84" s="28">
        <f t="shared" si="9"/>
        <v>2524.831284244287</v>
      </c>
    </row>
    <row r="85" spans="4:7" x14ac:dyDescent="0.25">
      <c r="D85" s="18" t="s">
        <v>128</v>
      </c>
      <c r="E85" s="18">
        <v>101</v>
      </c>
      <c r="F85" s="19">
        <f t="shared" si="8"/>
        <v>4.9504950495049505</v>
      </c>
      <c r="G85" s="28">
        <f t="shared" si="9"/>
        <v>2524.831284244287</v>
      </c>
    </row>
    <row r="86" spans="4:7" x14ac:dyDescent="0.25">
      <c r="D86" s="18" t="s">
        <v>130</v>
      </c>
      <c r="E86" s="18">
        <v>101</v>
      </c>
      <c r="F86" s="19">
        <f t="shared" si="8"/>
        <v>4.9504950495049505</v>
      </c>
      <c r="G86" s="28">
        <f t="shared" si="9"/>
        <v>2524.831284244287</v>
      </c>
    </row>
    <row r="87" spans="4:7" x14ac:dyDescent="0.25">
      <c r="D87" s="18" t="s">
        <v>132</v>
      </c>
      <c r="E87" s="18">
        <v>101</v>
      </c>
      <c r="F87" s="19">
        <f t="shared" si="8"/>
        <v>4.9504950495049505</v>
      </c>
      <c r="G87" s="28">
        <f t="shared" si="9"/>
        <v>2524.831284244287</v>
      </c>
    </row>
    <row r="88" spans="4:7" x14ac:dyDescent="0.25">
      <c r="D88" s="18" t="s">
        <v>134</v>
      </c>
      <c r="E88" s="18">
        <v>101</v>
      </c>
      <c r="F88" s="19">
        <f t="shared" si="8"/>
        <v>4.9504950495049505</v>
      </c>
      <c r="G88" s="28">
        <f t="shared" si="9"/>
        <v>2524.831284244287</v>
      </c>
    </row>
    <row r="89" spans="4:7" x14ac:dyDescent="0.25">
      <c r="D89" s="18" t="s">
        <v>66</v>
      </c>
      <c r="E89" s="18">
        <v>84</v>
      </c>
      <c r="F89" s="19">
        <f t="shared" si="8"/>
        <v>5.9523809523809526</v>
      </c>
      <c r="G89" s="28">
        <f t="shared" si="9"/>
        <v>2099.8596819457434</v>
      </c>
    </row>
    <row r="90" spans="4:7" x14ac:dyDescent="0.25">
      <c r="D90" s="18" t="s">
        <v>127</v>
      </c>
      <c r="E90" s="18">
        <v>16</v>
      </c>
      <c r="F90" s="19">
        <f t="shared" si="8"/>
        <v>31.25</v>
      </c>
      <c r="G90" s="28">
        <f t="shared" si="9"/>
        <v>399.97327275157022</v>
      </c>
    </row>
    <row r="91" spans="4:7" x14ac:dyDescent="0.25">
      <c r="D91" s="18" t="s">
        <v>129</v>
      </c>
      <c r="E91" s="18">
        <v>16</v>
      </c>
      <c r="F91" s="19">
        <f t="shared" si="8"/>
        <v>31.25</v>
      </c>
      <c r="G91" s="28">
        <f t="shared" si="9"/>
        <v>399.97327275157022</v>
      </c>
    </row>
    <row r="92" spans="4:7" x14ac:dyDescent="0.25">
      <c r="D92" s="18" t="s">
        <v>131</v>
      </c>
      <c r="E92" s="18">
        <v>16</v>
      </c>
      <c r="F92" s="19">
        <f t="shared" si="8"/>
        <v>31.25</v>
      </c>
      <c r="G92" s="28">
        <f t="shared" si="9"/>
        <v>399.97327275157022</v>
      </c>
    </row>
    <row r="93" spans="4:7" x14ac:dyDescent="0.25">
      <c r="D93" s="18" t="s">
        <v>133</v>
      </c>
      <c r="E93" s="18">
        <v>16</v>
      </c>
      <c r="F93" s="19">
        <f t="shared" si="8"/>
        <v>31.25</v>
      </c>
      <c r="G93" s="28">
        <f t="shared" si="9"/>
        <v>399.97327275157022</v>
      </c>
    </row>
    <row r="94" spans="4:7" x14ac:dyDescent="0.25">
      <c r="D94" s="18" t="s">
        <v>135</v>
      </c>
      <c r="E94" s="18">
        <v>16</v>
      </c>
      <c r="F94" s="19">
        <f t="shared" si="8"/>
        <v>31.25</v>
      </c>
      <c r="G94" s="28">
        <f t="shared" si="9"/>
        <v>399.97327275157022</v>
      </c>
    </row>
    <row r="95" spans="4:7" x14ac:dyDescent="0.25">
      <c r="D95" s="42" t="s">
        <v>190</v>
      </c>
      <c r="E95" s="43"/>
      <c r="F95" s="43"/>
      <c r="G95" s="44"/>
    </row>
    <row r="96" spans="4:7" x14ac:dyDescent="0.25">
      <c r="D96" s="10" t="s">
        <v>124</v>
      </c>
      <c r="E96" s="10">
        <v>506</v>
      </c>
      <c r="F96" s="11">
        <f t="shared" ref="F96:F107" si="10">N$5/E96</f>
        <v>0.98814229249011853</v>
      </c>
      <c r="G96" s="29">
        <f t="shared" ref="G96:G107" si="11">N$15/F96</f>
        <v>12649.154750768408</v>
      </c>
    </row>
    <row r="97" spans="4:7" x14ac:dyDescent="0.25">
      <c r="D97" s="10" t="s">
        <v>99</v>
      </c>
      <c r="E97" s="10">
        <v>101</v>
      </c>
      <c r="F97" s="11">
        <f t="shared" si="10"/>
        <v>4.9504950495049505</v>
      </c>
      <c r="G97" s="29">
        <f t="shared" si="11"/>
        <v>2524.831284244287</v>
      </c>
    </row>
    <row r="98" spans="4:7" x14ac:dyDescent="0.25">
      <c r="D98" s="10" t="s">
        <v>86</v>
      </c>
      <c r="E98" s="10">
        <v>101</v>
      </c>
      <c r="F98" s="11">
        <f t="shared" si="10"/>
        <v>4.9504950495049505</v>
      </c>
      <c r="G98" s="29">
        <f t="shared" si="11"/>
        <v>2524.831284244287</v>
      </c>
    </row>
    <row r="99" spans="4:7" x14ac:dyDescent="0.25">
      <c r="D99" s="10" t="s">
        <v>94</v>
      </c>
      <c r="E99" s="10">
        <v>101</v>
      </c>
      <c r="F99" s="11">
        <f t="shared" si="10"/>
        <v>4.9504950495049505</v>
      </c>
      <c r="G99" s="29">
        <f t="shared" si="11"/>
        <v>2524.831284244287</v>
      </c>
    </row>
    <row r="100" spans="4:7" x14ac:dyDescent="0.25">
      <c r="D100" s="10" t="s">
        <v>96</v>
      </c>
      <c r="E100" s="10">
        <v>101</v>
      </c>
      <c r="F100" s="11">
        <f t="shared" si="10"/>
        <v>4.9504950495049505</v>
      </c>
      <c r="G100" s="29">
        <f t="shared" si="11"/>
        <v>2524.831284244287</v>
      </c>
    </row>
    <row r="101" spans="4:7" x14ac:dyDescent="0.25">
      <c r="D101" s="10" t="s">
        <v>87</v>
      </c>
      <c r="E101" s="10">
        <v>101</v>
      </c>
      <c r="F101" s="11">
        <f t="shared" si="10"/>
        <v>4.9504950495049505</v>
      </c>
      <c r="G101" s="29">
        <f t="shared" si="11"/>
        <v>2524.831284244287</v>
      </c>
    </row>
    <row r="102" spans="4:7" x14ac:dyDescent="0.25">
      <c r="D102" s="10" t="s">
        <v>123</v>
      </c>
      <c r="E102" s="10">
        <v>84</v>
      </c>
      <c r="F102" s="11">
        <f t="shared" si="10"/>
        <v>5.9523809523809526</v>
      </c>
      <c r="G102" s="29">
        <f t="shared" si="11"/>
        <v>2099.8596819457434</v>
      </c>
    </row>
    <row r="103" spans="4:7" x14ac:dyDescent="0.25">
      <c r="D103" s="10" t="s">
        <v>98</v>
      </c>
      <c r="E103" s="10">
        <v>16.8</v>
      </c>
      <c r="F103" s="11">
        <f t="shared" si="10"/>
        <v>29.761904761904759</v>
      </c>
      <c r="G103" s="29">
        <f t="shared" si="11"/>
        <v>419.97193638914877</v>
      </c>
    </row>
    <row r="104" spans="4:7" x14ac:dyDescent="0.25">
      <c r="D104" s="10" t="s">
        <v>92</v>
      </c>
      <c r="E104" s="10">
        <v>16.8</v>
      </c>
      <c r="F104" s="11">
        <f t="shared" si="10"/>
        <v>29.761904761904759</v>
      </c>
      <c r="G104" s="29">
        <f t="shared" si="11"/>
        <v>419.97193638914877</v>
      </c>
    </row>
    <row r="105" spans="4:7" x14ac:dyDescent="0.25">
      <c r="D105" s="10" t="s">
        <v>93</v>
      </c>
      <c r="E105" s="10">
        <v>16.8</v>
      </c>
      <c r="F105" s="11">
        <f t="shared" si="10"/>
        <v>29.761904761904759</v>
      </c>
      <c r="G105" s="29">
        <f t="shared" si="11"/>
        <v>419.97193638914877</v>
      </c>
    </row>
    <row r="106" spans="4:7" x14ac:dyDescent="0.25">
      <c r="D106" s="10" t="s">
        <v>95</v>
      </c>
      <c r="E106" s="10">
        <v>16.8</v>
      </c>
      <c r="F106" s="11">
        <f t="shared" si="10"/>
        <v>29.761904761904759</v>
      </c>
      <c r="G106" s="29">
        <f t="shared" si="11"/>
        <v>419.97193638914877</v>
      </c>
    </row>
    <row r="107" spans="4:7" x14ac:dyDescent="0.25">
      <c r="D107" s="10" t="s">
        <v>97</v>
      </c>
      <c r="E107" s="10">
        <v>16.8</v>
      </c>
      <c r="F107" s="11">
        <f t="shared" si="10"/>
        <v>29.761904761904759</v>
      </c>
      <c r="G107" s="29">
        <f t="shared" si="11"/>
        <v>419.97193638914877</v>
      </c>
    </row>
    <row r="108" spans="4:7" x14ac:dyDescent="0.25">
      <c r="D108" s="49" t="s">
        <v>191</v>
      </c>
      <c r="E108" s="50"/>
      <c r="F108" s="50"/>
      <c r="G108" s="51"/>
    </row>
    <row r="109" spans="4:7" x14ac:dyDescent="0.25">
      <c r="D109" s="16" t="s">
        <v>119</v>
      </c>
      <c r="E109" s="16">
        <v>506</v>
      </c>
      <c r="F109" s="17">
        <f t="shared" ref="F109:F120" si="12">N$5/E109</f>
        <v>0.98814229249011853</v>
      </c>
      <c r="G109" s="30">
        <f t="shared" ref="G109:G120" si="13">N$15/F109</f>
        <v>12649.154750768408</v>
      </c>
    </row>
    <row r="110" spans="4:7" x14ac:dyDescent="0.25">
      <c r="D110" s="16" t="s">
        <v>120</v>
      </c>
      <c r="E110" s="16">
        <v>101</v>
      </c>
      <c r="F110" s="17">
        <f t="shared" si="12"/>
        <v>4.9504950495049505</v>
      </c>
      <c r="G110" s="30">
        <f t="shared" si="13"/>
        <v>2524.831284244287</v>
      </c>
    </row>
    <row r="111" spans="4:7" x14ac:dyDescent="0.25">
      <c r="D111" s="16" t="s">
        <v>114</v>
      </c>
      <c r="E111" s="16">
        <v>101</v>
      </c>
      <c r="F111" s="17">
        <f t="shared" si="12"/>
        <v>4.9504950495049505</v>
      </c>
      <c r="G111" s="30">
        <f t="shared" si="13"/>
        <v>2524.831284244287</v>
      </c>
    </row>
    <row r="112" spans="4:7" x14ac:dyDescent="0.25">
      <c r="D112" s="16" t="s">
        <v>115</v>
      </c>
      <c r="E112" s="16">
        <v>101</v>
      </c>
      <c r="F112" s="17">
        <f t="shared" si="12"/>
        <v>4.9504950495049505</v>
      </c>
      <c r="G112" s="30">
        <f t="shared" si="13"/>
        <v>2524.831284244287</v>
      </c>
    </row>
    <row r="113" spans="4:7" x14ac:dyDescent="0.25">
      <c r="D113" s="16" t="s">
        <v>117</v>
      </c>
      <c r="E113" s="16">
        <v>101</v>
      </c>
      <c r="F113" s="17">
        <f t="shared" si="12"/>
        <v>4.9504950495049505</v>
      </c>
      <c r="G113" s="30">
        <f t="shared" si="13"/>
        <v>2524.831284244287</v>
      </c>
    </row>
    <row r="114" spans="4:7" x14ac:dyDescent="0.25">
      <c r="D114" s="16" t="s">
        <v>121</v>
      </c>
      <c r="E114" s="16">
        <v>101</v>
      </c>
      <c r="F114" s="17">
        <f t="shared" si="12"/>
        <v>4.9504950495049505</v>
      </c>
      <c r="G114" s="30">
        <f t="shared" si="13"/>
        <v>2524.831284244287</v>
      </c>
    </row>
    <row r="115" spans="4:7" x14ac:dyDescent="0.25">
      <c r="D115" s="16" t="s">
        <v>109</v>
      </c>
      <c r="E115" s="16">
        <v>84</v>
      </c>
      <c r="F115" s="17">
        <f t="shared" si="12"/>
        <v>5.9523809523809526</v>
      </c>
      <c r="G115" s="30">
        <f t="shared" si="13"/>
        <v>2099.8596819457434</v>
      </c>
    </row>
    <row r="116" spans="4:7" x14ac:dyDescent="0.25">
      <c r="D116" s="16" t="s">
        <v>88</v>
      </c>
      <c r="E116" s="16">
        <v>16.8</v>
      </c>
      <c r="F116" s="17">
        <f t="shared" si="12"/>
        <v>29.761904761904759</v>
      </c>
      <c r="G116" s="30">
        <f t="shared" si="13"/>
        <v>419.97193638914877</v>
      </c>
    </row>
    <row r="117" spans="4:7" x14ac:dyDescent="0.25">
      <c r="D117" s="16" t="s">
        <v>113</v>
      </c>
      <c r="E117" s="16">
        <v>16</v>
      </c>
      <c r="F117" s="17">
        <f t="shared" si="12"/>
        <v>31.25</v>
      </c>
      <c r="G117" s="30">
        <f t="shared" si="13"/>
        <v>399.97327275157022</v>
      </c>
    </row>
    <row r="118" spans="4:7" x14ac:dyDescent="0.25">
      <c r="D118" s="16" t="s">
        <v>116</v>
      </c>
      <c r="E118" s="16">
        <v>16</v>
      </c>
      <c r="F118" s="17">
        <f t="shared" si="12"/>
        <v>31.25</v>
      </c>
      <c r="G118" s="30">
        <f t="shared" si="13"/>
        <v>399.97327275157022</v>
      </c>
    </row>
    <row r="119" spans="4:7" x14ac:dyDescent="0.25">
      <c r="D119" s="16" t="s">
        <v>118</v>
      </c>
      <c r="E119" s="16">
        <v>16</v>
      </c>
      <c r="F119" s="17">
        <f t="shared" si="12"/>
        <v>31.25</v>
      </c>
      <c r="G119" s="30">
        <f t="shared" si="13"/>
        <v>399.97327275157022</v>
      </c>
    </row>
    <row r="120" spans="4:7" x14ac:dyDescent="0.25">
      <c r="D120" s="16" t="s">
        <v>122</v>
      </c>
      <c r="E120" s="16">
        <v>16</v>
      </c>
      <c r="F120" s="17">
        <f t="shared" si="12"/>
        <v>31.25</v>
      </c>
      <c r="G120" s="30">
        <f t="shared" si="13"/>
        <v>399.97327275157022</v>
      </c>
    </row>
    <row r="121" spans="4:7" x14ac:dyDescent="0.25">
      <c r="D121" s="46" t="s">
        <v>192</v>
      </c>
      <c r="E121" s="47"/>
      <c r="F121" s="47"/>
      <c r="G121" s="48"/>
    </row>
    <row r="122" spans="4:7" x14ac:dyDescent="0.25">
      <c r="D122" s="23" t="s">
        <v>188</v>
      </c>
      <c r="E122" s="23">
        <v>506</v>
      </c>
      <c r="F122" s="24">
        <f t="shared" ref="F122" si="14">N$5/E122</f>
        <v>0.98814229249011853</v>
      </c>
      <c r="G122" s="14">
        <f t="shared" ref="G122" si="15">N$15/F122</f>
        <v>12649.154750768408</v>
      </c>
    </row>
    <row r="123" spans="4:7" x14ac:dyDescent="0.25">
      <c r="D123" s="23" t="s">
        <v>164</v>
      </c>
      <c r="E123" s="23">
        <v>101</v>
      </c>
      <c r="F123" s="24">
        <f t="shared" ref="F123:F133" si="16">N$5/E123</f>
        <v>4.9504950495049505</v>
      </c>
      <c r="G123" s="14">
        <f t="shared" ref="G123:G133" si="17">N$15/F123</f>
        <v>2524.831284244287</v>
      </c>
    </row>
    <row r="124" spans="4:7" x14ac:dyDescent="0.25">
      <c r="D124" s="23" t="s">
        <v>166</v>
      </c>
      <c r="E124" s="23">
        <v>101</v>
      </c>
      <c r="F124" s="24">
        <f t="shared" si="16"/>
        <v>4.9504950495049505</v>
      </c>
      <c r="G124" s="14">
        <f t="shared" si="17"/>
        <v>2524.831284244287</v>
      </c>
    </row>
    <row r="125" spans="4:7" x14ac:dyDescent="0.25">
      <c r="D125" s="23" t="s">
        <v>167</v>
      </c>
      <c r="E125" s="23">
        <v>101</v>
      </c>
      <c r="F125" s="24">
        <f t="shared" si="16"/>
        <v>4.9504950495049505</v>
      </c>
      <c r="G125" s="14">
        <f t="shared" si="17"/>
        <v>2524.831284244287</v>
      </c>
    </row>
    <row r="126" spans="4:7" x14ac:dyDescent="0.25">
      <c r="D126" s="23" t="s">
        <v>169</v>
      </c>
      <c r="E126" s="23">
        <v>101</v>
      </c>
      <c r="F126" s="24">
        <f t="shared" si="16"/>
        <v>4.9504950495049505</v>
      </c>
      <c r="G126" s="14">
        <f t="shared" si="17"/>
        <v>2524.831284244287</v>
      </c>
    </row>
    <row r="127" spans="4:7" x14ac:dyDescent="0.25">
      <c r="D127" s="23" t="s">
        <v>170</v>
      </c>
      <c r="E127" s="23">
        <v>101</v>
      </c>
      <c r="F127" s="24">
        <f t="shared" si="16"/>
        <v>4.9504950495049505</v>
      </c>
      <c r="G127" s="14">
        <f t="shared" si="17"/>
        <v>2524.831284244287</v>
      </c>
    </row>
    <row r="128" spans="4:7" x14ac:dyDescent="0.25">
      <c r="D128" s="23" t="s">
        <v>172</v>
      </c>
      <c r="E128" s="23">
        <v>84</v>
      </c>
      <c r="F128" s="24">
        <f t="shared" si="16"/>
        <v>5.9523809523809526</v>
      </c>
      <c r="G128" s="14">
        <f t="shared" si="17"/>
        <v>2099.8596819457434</v>
      </c>
    </row>
    <row r="129" spans="4:7" x14ac:dyDescent="0.25">
      <c r="D129" s="23" t="s">
        <v>163</v>
      </c>
      <c r="E129" s="23">
        <v>16</v>
      </c>
      <c r="F129" s="24">
        <f t="shared" si="16"/>
        <v>31.25</v>
      </c>
      <c r="G129" s="14">
        <f t="shared" si="17"/>
        <v>399.97327275157022</v>
      </c>
    </row>
    <row r="130" spans="4:7" x14ac:dyDescent="0.25">
      <c r="D130" s="23" t="s">
        <v>165</v>
      </c>
      <c r="E130" s="23">
        <v>16</v>
      </c>
      <c r="F130" s="24">
        <f t="shared" si="16"/>
        <v>31.25</v>
      </c>
      <c r="G130" s="14">
        <f t="shared" si="17"/>
        <v>399.97327275157022</v>
      </c>
    </row>
    <row r="131" spans="4:7" x14ac:dyDescent="0.25">
      <c r="D131" s="23" t="s">
        <v>173</v>
      </c>
      <c r="E131" s="23">
        <v>16</v>
      </c>
      <c r="F131" s="24">
        <f t="shared" si="16"/>
        <v>31.25</v>
      </c>
      <c r="G131" s="14">
        <f t="shared" si="17"/>
        <v>399.97327275157022</v>
      </c>
    </row>
    <row r="132" spans="4:7" x14ac:dyDescent="0.25">
      <c r="D132" s="23" t="s">
        <v>168</v>
      </c>
      <c r="E132" s="23">
        <v>16</v>
      </c>
      <c r="F132" s="24">
        <f t="shared" si="16"/>
        <v>31.25</v>
      </c>
      <c r="G132" s="14">
        <f t="shared" si="17"/>
        <v>399.97327275157022</v>
      </c>
    </row>
    <row r="133" spans="4:7" x14ac:dyDescent="0.25">
      <c r="D133" s="23" t="s">
        <v>171</v>
      </c>
      <c r="E133" s="23">
        <v>16</v>
      </c>
      <c r="F133" s="24">
        <f t="shared" si="16"/>
        <v>31.25</v>
      </c>
      <c r="G133" s="14">
        <f t="shared" si="17"/>
        <v>399.97327275157022</v>
      </c>
    </row>
    <row r="134" spans="4:7" x14ac:dyDescent="0.25">
      <c r="D134" s="27"/>
      <c r="E134" s="2"/>
      <c r="F134" s="6"/>
      <c r="G134" s="22"/>
    </row>
    <row r="135" spans="4:7" x14ac:dyDescent="0.25">
      <c r="D135" s="45" t="s">
        <v>77</v>
      </c>
      <c r="E135" s="45"/>
      <c r="F135" s="45"/>
      <c r="G135" s="45"/>
    </row>
    <row r="136" spans="4:7" x14ac:dyDescent="0.25">
      <c r="D136" s="2" t="s">
        <v>67</v>
      </c>
      <c r="E136" s="2">
        <v>10</v>
      </c>
      <c r="F136" s="6">
        <f t="shared" ref="F136:F149" si="18">N$5/E136</f>
        <v>50</v>
      </c>
      <c r="G136" s="25">
        <f t="shared" ref="G136:G149" si="19">N$15/F136</f>
        <v>249.98329546973139</v>
      </c>
    </row>
    <row r="137" spans="4:7" x14ac:dyDescent="0.25">
      <c r="D137" s="2" t="s">
        <v>68</v>
      </c>
      <c r="E137" s="2">
        <v>10</v>
      </c>
      <c r="F137" s="6">
        <f t="shared" si="18"/>
        <v>50</v>
      </c>
      <c r="G137" s="25">
        <f t="shared" si="19"/>
        <v>249.98329546973139</v>
      </c>
    </row>
    <row r="138" spans="4:7" x14ac:dyDescent="0.25">
      <c r="D138" s="2" t="s">
        <v>69</v>
      </c>
      <c r="E138" s="2">
        <v>10</v>
      </c>
      <c r="F138" s="6">
        <f t="shared" si="18"/>
        <v>50</v>
      </c>
      <c r="G138" s="25">
        <f t="shared" si="19"/>
        <v>249.98329546973139</v>
      </c>
    </row>
    <row r="139" spans="4:7" x14ac:dyDescent="0.25">
      <c r="D139" s="2" t="s">
        <v>70</v>
      </c>
      <c r="E139" s="2">
        <v>10</v>
      </c>
      <c r="F139" s="6">
        <f t="shared" si="18"/>
        <v>50</v>
      </c>
      <c r="G139" s="25">
        <f t="shared" si="19"/>
        <v>249.98329546973139</v>
      </c>
    </row>
    <row r="140" spans="4:7" x14ac:dyDescent="0.25">
      <c r="D140" s="2" t="s">
        <v>71</v>
      </c>
      <c r="E140" s="2">
        <v>10</v>
      </c>
      <c r="F140" s="6">
        <f t="shared" si="18"/>
        <v>50</v>
      </c>
      <c r="G140" s="25">
        <f t="shared" si="19"/>
        <v>249.98329546973139</v>
      </c>
    </row>
    <row r="141" spans="4:7" x14ac:dyDescent="0.25">
      <c r="D141" s="2" t="s">
        <v>89</v>
      </c>
      <c r="E141" s="2">
        <v>101</v>
      </c>
      <c r="F141" s="6">
        <f t="shared" si="18"/>
        <v>4.9504950495049505</v>
      </c>
      <c r="G141" s="25">
        <f t="shared" si="19"/>
        <v>2524.831284244287</v>
      </c>
    </row>
    <row r="142" spans="4:7" x14ac:dyDescent="0.25">
      <c r="D142" s="2" t="s">
        <v>90</v>
      </c>
      <c r="E142" s="2">
        <v>101</v>
      </c>
      <c r="F142" s="6">
        <f t="shared" si="18"/>
        <v>4.9504950495049505</v>
      </c>
      <c r="G142" s="25">
        <f t="shared" si="19"/>
        <v>2524.831284244287</v>
      </c>
    </row>
    <row r="143" spans="4:7" x14ac:dyDescent="0.25">
      <c r="D143" s="2" t="s">
        <v>91</v>
      </c>
      <c r="E143" s="2">
        <v>111</v>
      </c>
      <c r="F143" s="6">
        <f t="shared" si="18"/>
        <v>4.5045045045045047</v>
      </c>
      <c r="G143" s="25">
        <f t="shared" si="19"/>
        <v>2774.8145797140182</v>
      </c>
    </row>
    <row r="144" spans="4:7" x14ac:dyDescent="0.25">
      <c r="D144" s="2" t="s">
        <v>78</v>
      </c>
      <c r="E144" s="2">
        <v>640</v>
      </c>
      <c r="F144" s="2">
        <f t="shared" si="18"/>
        <v>0.78125</v>
      </c>
      <c r="G144" s="25">
        <f t="shared" si="19"/>
        <v>15998.930910062809</v>
      </c>
    </row>
    <row r="145" spans="4:7" x14ac:dyDescent="0.25">
      <c r="D145" s="2" t="s">
        <v>79</v>
      </c>
      <c r="E145" s="2">
        <v>640</v>
      </c>
      <c r="F145" s="2">
        <f t="shared" si="18"/>
        <v>0.78125</v>
      </c>
      <c r="G145" s="25">
        <f t="shared" si="19"/>
        <v>15998.930910062809</v>
      </c>
    </row>
    <row r="146" spans="4:7" x14ac:dyDescent="0.25">
      <c r="D146" s="2" t="s">
        <v>80</v>
      </c>
      <c r="E146" s="2">
        <v>640</v>
      </c>
      <c r="F146" s="2">
        <f t="shared" si="18"/>
        <v>0.78125</v>
      </c>
      <c r="G146" s="25">
        <f t="shared" si="19"/>
        <v>15998.930910062809</v>
      </c>
    </row>
    <row r="147" spans="4:7" x14ac:dyDescent="0.25">
      <c r="D147" s="2" t="s">
        <v>81</v>
      </c>
      <c r="E147" s="2">
        <v>640</v>
      </c>
      <c r="F147" s="2">
        <f t="shared" si="18"/>
        <v>0.78125</v>
      </c>
      <c r="G147" s="25">
        <f t="shared" si="19"/>
        <v>15998.930910062809</v>
      </c>
    </row>
    <row r="148" spans="4:7" x14ac:dyDescent="0.25">
      <c r="D148" s="2" t="s">
        <v>83</v>
      </c>
      <c r="E148" s="2">
        <v>640</v>
      </c>
      <c r="F148" s="2">
        <f t="shared" si="18"/>
        <v>0.78125</v>
      </c>
      <c r="G148" s="25">
        <f t="shared" si="19"/>
        <v>15998.930910062809</v>
      </c>
    </row>
    <row r="149" spans="4:7" x14ac:dyDescent="0.25">
      <c r="D149" s="2" t="s">
        <v>82</v>
      </c>
      <c r="E149" s="2">
        <v>640</v>
      </c>
      <c r="F149" s="2">
        <f t="shared" si="18"/>
        <v>0.78125</v>
      </c>
      <c r="G149" s="25">
        <f t="shared" si="19"/>
        <v>15998.930910062809</v>
      </c>
    </row>
    <row r="151" spans="4:7" x14ac:dyDescent="0.25">
      <c r="D151" s="45" t="s">
        <v>100</v>
      </c>
      <c r="E151" s="45"/>
      <c r="F151" s="45"/>
      <c r="G151" s="45"/>
    </row>
    <row r="152" spans="4:7" x14ac:dyDescent="0.25">
      <c r="D152" s="5" t="s">
        <v>1</v>
      </c>
      <c r="E152" s="5" t="s">
        <v>2</v>
      </c>
      <c r="F152" s="5" t="s">
        <v>9</v>
      </c>
      <c r="G152" s="14" t="s">
        <v>10</v>
      </c>
    </row>
    <row r="153" spans="4:7" x14ac:dyDescent="0.25">
      <c r="D153" s="2" t="s">
        <v>112</v>
      </c>
      <c r="E153" s="2">
        <v>75</v>
      </c>
      <c r="F153" s="6">
        <f>N$5/E153</f>
        <v>6.666666666666667</v>
      </c>
      <c r="G153" s="25">
        <f>N$15/F153</f>
        <v>1874.8747160229852</v>
      </c>
    </row>
    <row r="155" spans="4:7" x14ac:dyDescent="0.25">
      <c r="D155" s="45" t="s">
        <v>101</v>
      </c>
      <c r="E155" s="45"/>
      <c r="F155" s="45"/>
      <c r="G155" s="45"/>
    </row>
    <row r="156" spans="4:7" x14ac:dyDescent="0.25">
      <c r="D156" s="2" t="s">
        <v>102</v>
      </c>
      <c r="E156" s="2">
        <v>84</v>
      </c>
      <c r="F156" s="6">
        <f t="shared" ref="F156:F162" si="20">N$5/E156</f>
        <v>5.9523809523809526</v>
      </c>
      <c r="G156" s="25">
        <f t="shared" ref="G156:G162" si="21">N$15/F156</f>
        <v>2099.8596819457434</v>
      </c>
    </row>
    <row r="157" spans="4:7" x14ac:dyDescent="0.25">
      <c r="D157" s="2" t="s">
        <v>103</v>
      </c>
      <c r="E157" s="2">
        <v>16.8</v>
      </c>
      <c r="F157" s="6">
        <f t="shared" si="20"/>
        <v>29.761904761904759</v>
      </c>
      <c r="G157" s="25">
        <f t="shared" si="21"/>
        <v>419.97193638914877</v>
      </c>
    </row>
    <row r="158" spans="4:7" x14ac:dyDescent="0.25">
      <c r="D158" s="2" t="s">
        <v>104</v>
      </c>
      <c r="E158" s="2">
        <v>24</v>
      </c>
      <c r="F158" s="6">
        <f t="shared" si="20"/>
        <v>20.833333333333332</v>
      </c>
      <c r="G158" s="25">
        <f t="shared" si="21"/>
        <v>599.95990912735533</v>
      </c>
    </row>
    <row r="159" spans="4:7" x14ac:dyDescent="0.25">
      <c r="D159" s="2" t="s">
        <v>105</v>
      </c>
      <c r="E159" s="2">
        <v>16.8</v>
      </c>
      <c r="F159" s="6">
        <f t="shared" si="20"/>
        <v>29.761904761904759</v>
      </c>
      <c r="G159" s="25">
        <f t="shared" si="21"/>
        <v>419.97193638914877</v>
      </c>
    </row>
    <row r="160" spans="4:7" x14ac:dyDescent="0.25">
      <c r="D160" s="2" t="s">
        <v>106</v>
      </c>
      <c r="E160" s="2">
        <v>16.8</v>
      </c>
      <c r="F160" s="6">
        <f t="shared" si="20"/>
        <v>29.761904761904759</v>
      </c>
      <c r="G160" s="25">
        <f t="shared" si="21"/>
        <v>419.97193638914877</v>
      </c>
    </row>
    <row r="161" spans="4:7" x14ac:dyDescent="0.25">
      <c r="D161" s="2" t="s">
        <v>107</v>
      </c>
      <c r="E161" s="2">
        <v>17.8</v>
      </c>
      <c r="F161" s="6">
        <f t="shared" si="20"/>
        <v>28.089887640449437</v>
      </c>
      <c r="G161" s="25">
        <f t="shared" si="21"/>
        <v>444.9702659361219</v>
      </c>
    </row>
    <row r="162" spans="4:7" x14ac:dyDescent="0.25">
      <c r="D162" s="2" t="s">
        <v>108</v>
      </c>
      <c r="E162" s="2">
        <v>16.8</v>
      </c>
      <c r="F162" s="6">
        <f t="shared" si="20"/>
        <v>29.761904761904759</v>
      </c>
      <c r="G162" s="25">
        <f t="shared" si="21"/>
        <v>419.97193638914877</v>
      </c>
    </row>
    <row r="163" spans="4:7" x14ac:dyDescent="0.25">
      <c r="F163" s="9"/>
    </row>
    <row r="164" spans="4:7" x14ac:dyDescent="0.25">
      <c r="D164" s="45" t="s">
        <v>110</v>
      </c>
      <c r="E164" s="45"/>
      <c r="F164" s="45"/>
      <c r="G164" s="45"/>
    </row>
    <row r="165" spans="4:7" x14ac:dyDescent="0.25">
      <c r="D165" s="2" t="s">
        <v>111</v>
      </c>
      <c r="E165" s="2">
        <v>72</v>
      </c>
      <c r="F165" s="6">
        <f>N$5/E165</f>
        <v>6.9444444444444446</v>
      </c>
      <c r="G165" s="25">
        <f>N$15/F165</f>
        <v>1799.879727382066</v>
      </c>
    </row>
    <row r="166" spans="4:7" x14ac:dyDescent="0.25">
      <c r="D166" s="26" t="s">
        <v>177</v>
      </c>
      <c r="E166" s="26">
        <v>21</v>
      </c>
      <c r="F166" s="6">
        <f>N$5/E166</f>
        <v>23.80952380952381</v>
      </c>
      <c r="G166" s="25">
        <f>N$15/F166</f>
        <v>524.96492048643586</v>
      </c>
    </row>
    <row r="167" spans="4:7" x14ac:dyDescent="0.25">
      <c r="G167" s="15"/>
    </row>
    <row r="168" spans="4:7" x14ac:dyDescent="0.25">
      <c r="D168" s="45" t="s">
        <v>136</v>
      </c>
      <c r="E168" s="45"/>
      <c r="F168" s="45"/>
      <c r="G168" s="45"/>
    </row>
    <row r="169" spans="4:7" x14ac:dyDescent="0.25">
      <c r="D169" s="5" t="s">
        <v>1</v>
      </c>
      <c r="E169" s="5" t="s">
        <v>2</v>
      </c>
      <c r="F169" s="5" t="s">
        <v>9</v>
      </c>
      <c r="G169" s="14" t="s">
        <v>10</v>
      </c>
    </row>
    <row r="170" spans="4:7" x14ac:dyDescent="0.25">
      <c r="D170" s="2" t="s">
        <v>137</v>
      </c>
      <c r="E170" s="2">
        <v>101</v>
      </c>
      <c r="F170" s="6">
        <f t="shared" ref="F170:F180" si="22">N$5/E170</f>
        <v>4.9504950495049505</v>
      </c>
      <c r="G170" s="25">
        <f t="shared" ref="G170:G180" si="23">N$15/F170</f>
        <v>2524.831284244287</v>
      </c>
    </row>
    <row r="171" spans="4:7" x14ac:dyDescent="0.25">
      <c r="D171" s="2" t="s">
        <v>140</v>
      </c>
      <c r="E171" s="2">
        <v>101</v>
      </c>
      <c r="F171" s="6">
        <f t="shared" si="22"/>
        <v>4.9504950495049505</v>
      </c>
      <c r="G171" s="25">
        <f t="shared" si="23"/>
        <v>2524.831284244287</v>
      </c>
    </row>
    <row r="172" spans="4:7" x14ac:dyDescent="0.25">
      <c r="D172" s="2" t="s">
        <v>143</v>
      </c>
      <c r="E172" s="2">
        <v>101</v>
      </c>
      <c r="F172" s="6">
        <f t="shared" si="22"/>
        <v>4.9504950495049505</v>
      </c>
      <c r="G172" s="25">
        <f t="shared" si="23"/>
        <v>2524.831284244287</v>
      </c>
    </row>
    <row r="173" spans="4:7" x14ac:dyDescent="0.25">
      <c r="D173" s="2" t="s">
        <v>146</v>
      </c>
      <c r="E173" s="2">
        <v>101</v>
      </c>
      <c r="F173" s="6">
        <f t="shared" si="22"/>
        <v>4.9504950495049505</v>
      </c>
      <c r="G173" s="25">
        <f t="shared" si="23"/>
        <v>2524.831284244287</v>
      </c>
    </row>
    <row r="174" spans="4:7" x14ac:dyDescent="0.25">
      <c r="D174" s="2" t="s">
        <v>147</v>
      </c>
      <c r="E174" s="2">
        <v>101</v>
      </c>
      <c r="F174" s="6">
        <f t="shared" si="22"/>
        <v>4.9504950495049505</v>
      </c>
      <c r="G174" s="25">
        <f t="shared" si="23"/>
        <v>2524.831284244287</v>
      </c>
    </row>
    <row r="175" spans="4:7" x14ac:dyDescent="0.25">
      <c r="D175" s="2" t="s">
        <v>139</v>
      </c>
      <c r="E175" s="2">
        <v>84</v>
      </c>
      <c r="F175" s="6">
        <f t="shared" si="22"/>
        <v>5.9523809523809526</v>
      </c>
      <c r="G175" s="25">
        <f t="shared" si="23"/>
        <v>2099.8596819457434</v>
      </c>
    </row>
    <row r="176" spans="4:7" x14ac:dyDescent="0.25">
      <c r="D176" s="2" t="s">
        <v>138</v>
      </c>
      <c r="E176" s="2">
        <v>16</v>
      </c>
      <c r="F176" s="6">
        <f t="shared" si="22"/>
        <v>31.25</v>
      </c>
      <c r="G176" s="25">
        <f t="shared" si="23"/>
        <v>399.97327275157022</v>
      </c>
    </row>
    <row r="177" spans="4:7" x14ac:dyDescent="0.25">
      <c r="D177" s="2" t="s">
        <v>141</v>
      </c>
      <c r="E177" s="2">
        <v>16</v>
      </c>
      <c r="F177" s="6">
        <f t="shared" si="22"/>
        <v>31.25</v>
      </c>
      <c r="G177" s="25">
        <f t="shared" si="23"/>
        <v>399.97327275157022</v>
      </c>
    </row>
    <row r="178" spans="4:7" x14ac:dyDescent="0.25">
      <c r="D178" s="2" t="s">
        <v>142</v>
      </c>
      <c r="E178" s="2">
        <v>16</v>
      </c>
      <c r="F178" s="6">
        <f t="shared" si="22"/>
        <v>31.25</v>
      </c>
      <c r="G178" s="25">
        <f t="shared" si="23"/>
        <v>399.97327275157022</v>
      </c>
    </row>
    <row r="179" spans="4:7" x14ac:dyDescent="0.25">
      <c r="D179" s="2" t="s">
        <v>144</v>
      </c>
      <c r="E179" s="2">
        <v>16</v>
      </c>
      <c r="F179" s="6">
        <f t="shared" si="22"/>
        <v>31.25</v>
      </c>
      <c r="G179" s="25">
        <f t="shared" si="23"/>
        <v>399.97327275157022</v>
      </c>
    </row>
    <row r="180" spans="4:7" x14ac:dyDescent="0.25">
      <c r="D180" s="2" t="s">
        <v>145</v>
      </c>
      <c r="E180" s="2">
        <v>16</v>
      </c>
      <c r="F180" s="6">
        <f t="shared" si="22"/>
        <v>31.25</v>
      </c>
      <c r="G180" s="25">
        <f t="shared" si="23"/>
        <v>399.97327275157022</v>
      </c>
    </row>
    <row r="181" spans="4:7" x14ac:dyDescent="0.25">
      <c r="G181" s="1"/>
    </row>
    <row r="182" spans="4:7" x14ac:dyDescent="0.25">
      <c r="D182" s="45" t="s">
        <v>148</v>
      </c>
      <c r="E182" s="45"/>
      <c r="F182" s="45"/>
      <c r="G182" s="45"/>
    </row>
    <row r="183" spans="4:7" x14ac:dyDescent="0.25">
      <c r="D183" s="5" t="s">
        <v>1</v>
      </c>
      <c r="E183" s="5" t="s">
        <v>2</v>
      </c>
      <c r="F183" s="5" t="s">
        <v>9</v>
      </c>
      <c r="G183" s="14" t="s">
        <v>10</v>
      </c>
    </row>
    <row r="184" spans="4:7" x14ac:dyDescent="0.25">
      <c r="D184" s="2" t="s">
        <v>156</v>
      </c>
      <c r="E184" s="2">
        <v>34</v>
      </c>
      <c r="F184" s="6">
        <f t="shared" ref="F184:F196" si="24">N$5/E184</f>
        <v>14.705882352941176</v>
      </c>
      <c r="G184" s="25">
        <f t="shared" ref="G184:G196" si="25">N$15/F184</f>
        <v>849.94320459708672</v>
      </c>
    </row>
    <row r="185" spans="4:7" x14ac:dyDescent="0.25">
      <c r="D185" s="2" t="s">
        <v>157</v>
      </c>
      <c r="E185" s="2">
        <v>33</v>
      </c>
      <c r="F185" s="6">
        <f t="shared" si="24"/>
        <v>15.151515151515152</v>
      </c>
      <c r="G185" s="25">
        <f t="shared" si="25"/>
        <v>824.94487505011352</v>
      </c>
    </row>
    <row r="186" spans="4:7" x14ac:dyDescent="0.25">
      <c r="D186" s="2" t="s">
        <v>151</v>
      </c>
      <c r="E186" s="2">
        <v>33</v>
      </c>
      <c r="F186" s="6">
        <f t="shared" si="24"/>
        <v>15.151515151515152</v>
      </c>
      <c r="G186" s="25">
        <f t="shared" si="25"/>
        <v>824.94487505011352</v>
      </c>
    </row>
    <row r="187" spans="4:7" x14ac:dyDescent="0.25">
      <c r="D187" s="2" t="s">
        <v>158</v>
      </c>
      <c r="E187" s="2">
        <v>33</v>
      </c>
      <c r="F187" s="6">
        <f t="shared" si="24"/>
        <v>15.151515151515152</v>
      </c>
      <c r="G187" s="25">
        <f t="shared" si="25"/>
        <v>824.94487505011352</v>
      </c>
    </row>
    <row r="188" spans="4:7" x14ac:dyDescent="0.25">
      <c r="D188" s="2" t="s">
        <v>153</v>
      </c>
      <c r="E188" s="2">
        <v>33</v>
      </c>
      <c r="F188" s="6">
        <f t="shared" si="24"/>
        <v>15.151515151515152</v>
      </c>
      <c r="G188" s="25">
        <f t="shared" si="25"/>
        <v>824.94487505011352</v>
      </c>
    </row>
    <row r="189" spans="4:7" x14ac:dyDescent="0.25">
      <c r="D189" s="2" t="s">
        <v>160</v>
      </c>
      <c r="E189" s="2">
        <v>33</v>
      </c>
      <c r="F189" s="6">
        <f t="shared" si="24"/>
        <v>15.151515151515152</v>
      </c>
      <c r="G189" s="25">
        <f t="shared" si="25"/>
        <v>824.94487505011352</v>
      </c>
    </row>
    <row r="190" spans="4:7" x14ac:dyDescent="0.25">
      <c r="D190" s="2" t="s">
        <v>161</v>
      </c>
      <c r="E190" s="2">
        <v>29</v>
      </c>
      <c r="F190" s="6">
        <f t="shared" si="24"/>
        <v>17.241379310344829</v>
      </c>
      <c r="G190" s="25">
        <f t="shared" si="25"/>
        <v>724.95155686222097</v>
      </c>
    </row>
    <row r="191" spans="4:7" x14ac:dyDescent="0.25">
      <c r="D191" s="2" t="s">
        <v>149</v>
      </c>
      <c r="E191" s="2">
        <v>5</v>
      </c>
      <c r="F191" s="6">
        <f t="shared" si="24"/>
        <v>100</v>
      </c>
      <c r="G191" s="25">
        <f t="shared" si="25"/>
        <v>124.99164773486569</v>
      </c>
    </row>
    <row r="192" spans="4:7" x14ac:dyDescent="0.25">
      <c r="D192" s="2" t="s">
        <v>150</v>
      </c>
      <c r="E192" s="2">
        <v>5</v>
      </c>
      <c r="F192" s="6">
        <f t="shared" si="24"/>
        <v>100</v>
      </c>
      <c r="G192" s="25">
        <f t="shared" si="25"/>
        <v>124.99164773486569</v>
      </c>
    </row>
    <row r="193" spans="4:7" x14ac:dyDescent="0.25">
      <c r="D193" s="2" t="s">
        <v>152</v>
      </c>
      <c r="E193" s="2">
        <v>5</v>
      </c>
      <c r="F193" s="6">
        <f t="shared" si="24"/>
        <v>100</v>
      </c>
      <c r="G193" s="25">
        <f t="shared" si="25"/>
        <v>124.99164773486569</v>
      </c>
    </row>
    <row r="194" spans="4:7" x14ac:dyDescent="0.25">
      <c r="D194" s="2" t="s">
        <v>159</v>
      </c>
      <c r="E194" s="2">
        <v>5</v>
      </c>
      <c r="F194" s="6">
        <f t="shared" si="24"/>
        <v>100</v>
      </c>
      <c r="G194" s="25">
        <f t="shared" si="25"/>
        <v>124.99164773486569</v>
      </c>
    </row>
    <row r="195" spans="4:7" x14ac:dyDescent="0.25">
      <c r="D195" s="2" t="s">
        <v>154</v>
      </c>
      <c r="E195" s="2">
        <v>5</v>
      </c>
      <c r="F195" s="6">
        <f t="shared" si="24"/>
        <v>100</v>
      </c>
      <c r="G195" s="25">
        <f t="shared" si="25"/>
        <v>124.99164773486569</v>
      </c>
    </row>
    <row r="196" spans="4:7" x14ac:dyDescent="0.25">
      <c r="D196" s="2" t="s">
        <v>155</v>
      </c>
      <c r="E196" s="2">
        <v>5</v>
      </c>
      <c r="F196" s="6">
        <f t="shared" si="24"/>
        <v>100</v>
      </c>
      <c r="G196" s="25">
        <f t="shared" si="25"/>
        <v>124.99164773486569</v>
      </c>
    </row>
    <row r="197" spans="4:7" x14ac:dyDescent="0.25">
      <c r="G197" s="1"/>
    </row>
    <row r="198" spans="4:7" x14ac:dyDescent="0.25">
      <c r="D198" s="45" t="s">
        <v>15</v>
      </c>
      <c r="E198" s="45"/>
      <c r="F198" s="45"/>
      <c r="G198" s="45"/>
    </row>
    <row r="199" spans="4:7" x14ac:dyDescent="0.25">
      <c r="D199" s="5" t="s">
        <v>1</v>
      </c>
      <c r="E199" s="5" t="s">
        <v>2</v>
      </c>
      <c r="F199" s="5" t="s">
        <v>9</v>
      </c>
      <c r="G199" s="14" t="s">
        <v>10</v>
      </c>
    </row>
    <row r="200" spans="4:7" x14ac:dyDescent="0.25">
      <c r="D200" s="2" t="s">
        <v>19</v>
      </c>
      <c r="E200" s="2">
        <v>45</v>
      </c>
      <c r="F200" s="6">
        <f>N$5/E200</f>
        <v>11.111111111111111</v>
      </c>
      <c r="G200" s="25">
        <f>N$15/F200</f>
        <v>1124.9248296137912</v>
      </c>
    </row>
    <row r="201" spans="4:7" x14ac:dyDescent="0.25">
      <c r="D201" s="2" t="s">
        <v>16</v>
      </c>
      <c r="E201" s="2">
        <v>130</v>
      </c>
      <c r="F201" s="6">
        <f>N$5/E201</f>
        <v>3.8461538461538463</v>
      </c>
      <c r="G201" s="25">
        <f>N$15/F201</f>
        <v>3249.7828411065079</v>
      </c>
    </row>
    <row r="202" spans="4:7" x14ac:dyDescent="0.25">
      <c r="D202" s="2" t="s">
        <v>17</v>
      </c>
      <c r="E202" s="2">
        <v>405</v>
      </c>
      <c r="F202" s="6">
        <f>N$5/E202</f>
        <v>1.2345679012345678</v>
      </c>
      <c r="G202" s="25">
        <f>N$15/F202</f>
        <v>10124.323466524122</v>
      </c>
    </row>
    <row r="203" spans="4:7" x14ac:dyDescent="0.25">
      <c r="D203" s="2" t="s">
        <v>18</v>
      </c>
      <c r="E203" s="2">
        <v>500</v>
      </c>
      <c r="F203" s="6">
        <f>N$5/E203</f>
        <v>1</v>
      </c>
      <c r="G203" s="25">
        <f>N$15/F203</f>
        <v>12499.164773486569</v>
      </c>
    </row>
    <row r="204" spans="4:7" x14ac:dyDescent="0.25">
      <c r="F204" s="9"/>
    </row>
    <row r="205" spans="4:7" x14ac:dyDescent="0.25">
      <c r="D205" s="45" t="s">
        <v>175</v>
      </c>
      <c r="E205" s="45"/>
      <c r="F205" s="45"/>
      <c r="G205" s="45"/>
    </row>
  </sheetData>
  <mergeCells count="23">
    <mergeCell ref="D121:G121"/>
    <mergeCell ref="D108:G108"/>
    <mergeCell ref="D36:G36"/>
    <mergeCell ref="D205:G205"/>
    <mergeCell ref="D168:G168"/>
    <mergeCell ref="D198:G198"/>
    <mergeCell ref="D182:G182"/>
    <mergeCell ref="D151:G151"/>
    <mergeCell ref="D155:G155"/>
    <mergeCell ref="D164:G164"/>
    <mergeCell ref="D135:G135"/>
    <mergeCell ref="D44:G44"/>
    <mergeCell ref="D52:G52"/>
    <mergeCell ref="D61:G61"/>
    <mergeCell ref="D71:G71"/>
    <mergeCell ref="D80:G80"/>
    <mergeCell ref="O8:O11"/>
    <mergeCell ref="D82:G82"/>
    <mergeCell ref="D95:G95"/>
    <mergeCell ref="D4:G4"/>
    <mergeCell ref="D11:G11"/>
    <mergeCell ref="D19:G19"/>
    <mergeCell ref="D27:G2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15FE-40ED-43AB-B72B-53647418DBBE}">
  <dimension ref="B2:AO205"/>
  <sheetViews>
    <sheetView workbookViewId="0">
      <selection activeCell="F7" sqref="F7"/>
    </sheetView>
  </sheetViews>
  <sheetFormatPr baseColWidth="10" defaultRowHeight="15" x14ac:dyDescent="0.25"/>
  <cols>
    <col min="1" max="1" width="11.42578125" style="1"/>
    <col min="2" max="2" width="17.42578125" style="1" bestFit="1" customWidth="1"/>
    <col min="3" max="3" width="11.42578125" style="1"/>
    <col min="4" max="4" width="30.85546875" style="1" bestFit="1" customWidth="1"/>
    <col min="5" max="5" width="9.140625" style="1" customWidth="1"/>
    <col min="6" max="6" width="12.5703125" style="1" bestFit="1" customWidth="1"/>
    <col min="7" max="7" width="13.7109375" style="13" bestFit="1" customWidth="1"/>
    <col min="8" max="8" width="19.7109375" style="1" bestFit="1" customWidth="1"/>
    <col min="9" max="9" width="4.5703125" style="1" bestFit="1" customWidth="1"/>
    <col min="10" max="10" width="15.5703125" style="1" bestFit="1" customWidth="1"/>
    <col min="11" max="11" width="6.5703125" style="1" bestFit="1" customWidth="1"/>
    <col min="12" max="12" width="12.5703125" style="1" customWidth="1"/>
    <col min="13" max="13" width="25.85546875" style="1" bestFit="1" customWidth="1"/>
    <col min="14" max="14" width="14.5703125" style="1" bestFit="1" customWidth="1"/>
    <col min="15" max="15" width="22.85546875" style="1" bestFit="1" customWidth="1"/>
    <col min="16" max="16" width="4.28515625" style="1" bestFit="1" customWidth="1"/>
    <col min="17" max="17" width="12.7109375" style="1" bestFit="1" customWidth="1"/>
    <col min="18" max="18" width="12.5703125" style="33" bestFit="1" customWidth="1"/>
    <col min="19" max="41" width="11.42578125" style="33"/>
    <col min="42" max="16384" width="11.42578125" style="1"/>
  </cols>
  <sheetData>
    <row r="2" spans="2:16" ht="21" x14ac:dyDescent="0.25">
      <c r="B2" s="3" t="s">
        <v>0</v>
      </c>
    </row>
    <row r="3" spans="2:16" x14ac:dyDescent="0.25">
      <c r="L3" s="21"/>
      <c r="M3" s="21"/>
      <c r="N3" s="21"/>
      <c r="O3" s="21"/>
      <c r="P3" s="21"/>
    </row>
    <row r="4" spans="2:16" x14ac:dyDescent="0.25">
      <c r="D4" s="45" t="s">
        <v>36</v>
      </c>
      <c r="E4" s="45"/>
      <c r="F4" s="45"/>
      <c r="G4" s="45"/>
      <c r="L4" s="21"/>
      <c r="M4" s="4" t="s">
        <v>181</v>
      </c>
      <c r="N4" s="32">
        <v>179592</v>
      </c>
      <c r="O4" s="21"/>
      <c r="P4" s="21"/>
    </row>
    <row r="5" spans="2:16" x14ac:dyDescent="0.25">
      <c r="D5" s="5" t="s">
        <v>1</v>
      </c>
      <c r="E5" s="5" t="s">
        <v>2</v>
      </c>
      <c r="F5" s="5" t="s">
        <v>9</v>
      </c>
      <c r="G5" s="14" t="s">
        <v>10</v>
      </c>
      <c r="L5" s="21"/>
      <c r="M5" s="4" t="s">
        <v>185</v>
      </c>
      <c r="N5" s="4">
        <v>500</v>
      </c>
      <c r="O5" s="21"/>
      <c r="P5" s="21"/>
    </row>
    <row r="6" spans="2:16" x14ac:dyDescent="0.25">
      <c r="D6" s="2" t="s">
        <v>37</v>
      </c>
      <c r="E6" s="2">
        <v>11</v>
      </c>
      <c r="F6" s="6">
        <f>N$5/E6</f>
        <v>45.454545454545453</v>
      </c>
      <c r="G6" s="25">
        <f>N$15/F6</f>
        <v>223.5622967615484</v>
      </c>
      <c r="L6" s="21"/>
      <c r="M6" s="4" t="s">
        <v>186</v>
      </c>
      <c r="N6" s="4">
        <v>359.18400000000003</v>
      </c>
      <c r="O6" s="21"/>
      <c r="P6" s="21"/>
    </row>
    <row r="7" spans="2:16" x14ac:dyDescent="0.25">
      <c r="D7" s="2" t="s">
        <v>38</v>
      </c>
      <c r="E7" s="2">
        <v>11</v>
      </c>
      <c r="F7" s="6">
        <f>N$5/E7</f>
        <v>45.454545454545453</v>
      </c>
      <c r="G7" s="25">
        <f>N$15/F7</f>
        <v>223.5622967615484</v>
      </c>
      <c r="L7" s="21"/>
      <c r="M7" s="21"/>
      <c r="N7" s="21"/>
      <c r="O7" s="21"/>
      <c r="P7" s="21"/>
    </row>
    <row r="8" spans="2:16" x14ac:dyDescent="0.25">
      <c r="D8" s="2" t="s">
        <v>39</v>
      </c>
      <c r="E8" s="2">
        <v>10</v>
      </c>
      <c r="F8" s="6">
        <f>N$5/E8</f>
        <v>50</v>
      </c>
      <c r="G8" s="25">
        <f>N$15/F8</f>
        <v>203.2384516014076</v>
      </c>
      <c r="L8" s="21"/>
      <c r="M8" s="4" t="s">
        <v>75</v>
      </c>
      <c r="N8" s="4" t="s">
        <v>76</v>
      </c>
      <c r="O8" s="36" t="s">
        <v>178</v>
      </c>
      <c r="P8" s="21"/>
    </row>
    <row r="9" spans="2:16" x14ac:dyDescent="0.25">
      <c r="D9" s="2" t="s">
        <v>40</v>
      </c>
      <c r="E9" s="2">
        <v>13</v>
      </c>
      <c r="F9" s="6">
        <f>N$5/E9</f>
        <v>38.46153846153846</v>
      </c>
      <c r="G9" s="25">
        <f>N$15/F9</f>
        <v>264.20998708182992</v>
      </c>
      <c r="L9" s="21"/>
      <c r="M9" s="5" t="s">
        <v>73</v>
      </c>
      <c r="N9" s="31">
        <v>5500000</v>
      </c>
      <c r="O9" s="37"/>
      <c r="P9" s="21"/>
    </row>
    <row r="10" spans="2:16" x14ac:dyDescent="0.25">
      <c r="L10" s="21"/>
      <c r="M10" s="5" t="s">
        <v>182</v>
      </c>
      <c r="N10" s="34">
        <v>500000</v>
      </c>
      <c r="O10" s="37"/>
      <c r="P10" s="21"/>
    </row>
    <row r="11" spans="2:16" x14ac:dyDescent="0.25">
      <c r="D11" s="45" t="s">
        <v>52</v>
      </c>
      <c r="E11" s="45"/>
      <c r="F11" s="45"/>
      <c r="G11" s="45"/>
      <c r="L11" s="21"/>
      <c r="M11" s="4" t="s">
        <v>162</v>
      </c>
      <c r="N11" s="7">
        <f>N9-N10</f>
        <v>5000000</v>
      </c>
      <c r="O11" s="38"/>
      <c r="P11" s="21"/>
    </row>
    <row r="12" spans="2:16" x14ac:dyDescent="0.25">
      <c r="D12" s="5" t="s">
        <v>1</v>
      </c>
      <c r="E12" s="5" t="s">
        <v>2</v>
      </c>
      <c r="F12" s="5" t="s">
        <v>9</v>
      </c>
      <c r="G12" s="14" t="s">
        <v>10</v>
      </c>
      <c r="L12" s="21"/>
      <c r="M12" s="21"/>
      <c r="N12" s="21"/>
      <c r="O12" s="21"/>
      <c r="P12" s="21"/>
    </row>
    <row r="13" spans="2:16" x14ac:dyDescent="0.25">
      <c r="D13" s="2" t="s">
        <v>47</v>
      </c>
      <c r="E13" s="2">
        <v>19</v>
      </c>
      <c r="F13" s="6">
        <f>N$5/E13</f>
        <v>26.315789473684209</v>
      </c>
      <c r="G13" s="25">
        <f>N$15/F13</f>
        <v>386.1530580426745</v>
      </c>
      <c r="L13" s="21"/>
      <c r="M13" s="5" t="s">
        <v>184</v>
      </c>
      <c r="N13" s="35">
        <v>0.27</v>
      </c>
      <c r="O13" s="21"/>
      <c r="P13" s="21"/>
    </row>
    <row r="14" spans="2:16" x14ac:dyDescent="0.25">
      <c r="D14" s="2" t="s">
        <v>48</v>
      </c>
      <c r="E14" s="2">
        <v>16</v>
      </c>
      <c r="F14" s="6">
        <f>N$5/E14</f>
        <v>31.25</v>
      </c>
      <c r="G14" s="25">
        <f>N$15/F14</f>
        <v>325.18152256225216</v>
      </c>
      <c r="L14" s="21"/>
      <c r="M14" s="4" t="s">
        <v>183</v>
      </c>
      <c r="N14" s="8">
        <f>N11-(N11*N13)</f>
        <v>3650000</v>
      </c>
      <c r="O14" s="20" t="s">
        <v>179</v>
      </c>
      <c r="P14" s="21"/>
    </row>
    <row r="15" spans="2:16" x14ac:dyDescent="0.25">
      <c r="D15" s="2" t="s">
        <v>49</v>
      </c>
      <c r="E15" s="2">
        <v>20</v>
      </c>
      <c r="F15" s="6">
        <f>N$5/E15</f>
        <v>25</v>
      </c>
      <c r="G15" s="25">
        <f>N$15/F15</f>
        <v>406.47690320281521</v>
      </c>
      <c r="L15" s="21"/>
      <c r="M15" s="4" t="s">
        <v>85</v>
      </c>
      <c r="N15" s="12">
        <f>N14/N6</f>
        <v>10161.922580070381</v>
      </c>
      <c r="O15" s="20" t="s">
        <v>180</v>
      </c>
      <c r="P15" s="21"/>
    </row>
    <row r="16" spans="2:16" x14ac:dyDescent="0.25">
      <c r="D16" s="2" t="s">
        <v>50</v>
      </c>
      <c r="E16" s="2">
        <v>18</v>
      </c>
      <c r="F16" s="6">
        <f>N$5/E16</f>
        <v>27.777777777777779</v>
      </c>
      <c r="G16" s="25">
        <f>N$15/F16</f>
        <v>365.82921288253368</v>
      </c>
      <c r="L16" s="21"/>
      <c r="M16" s="21"/>
      <c r="N16" s="21"/>
      <c r="O16" s="21"/>
      <c r="P16" s="21"/>
    </row>
    <row r="17" spans="4:7" x14ac:dyDescent="0.25">
      <c r="D17" s="2" t="s">
        <v>51</v>
      </c>
      <c r="E17" s="2">
        <v>19</v>
      </c>
      <c r="F17" s="6">
        <f>N$5/E17</f>
        <v>26.315789473684209</v>
      </c>
      <c r="G17" s="25">
        <f>N$15/F17</f>
        <v>386.1530580426745</v>
      </c>
    </row>
    <row r="19" spans="4:7" x14ac:dyDescent="0.25">
      <c r="D19" s="45" t="s">
        <v>41</v>
      </c>
      <c r="E19" s="45"/>
      <c r="F19" s="45"/>
      <c r="G19" s="45"/>
    </row>
    <row r="20" spans="4:7" x14ac:dyDescent="0.25">
      <c r="D20" s="5" t="s">
        <v>1</v>
      </c>
      <c r="E20" s="5" t="s">
        <v>2</v>
      </c>
      <c r="F20" s="5" t="s">
        <v>9</v>
      </c>
      <c r="G20" s="14" t="s">
        <v>10</v>
      </c>
    </row>
    <row r="21" spans="4:7" x14ac:dyDescent="0.25">
      <c r="D21" s="2" t="s">
        <v>42</v>
      </c>
      <c r="E21" s="2">
        <v>19</v>
      </c>
      <c r="F21" s="6">
        <f>N$5/E21</f>
        <v>26.315789473684209</v>
      </c>
      <c r="G21" s="25">
        <f>N$15/F21</f>
        <v>386.1530580426745</v>
      </c>
    </row>
    <row r="22" spans="4:7" x14ac:dyDescent="0.25">
      <c r="D22" s="2" t="s">
        <v>43</v>
      </c>
      <c r="E22" s="2">
        <v>17</v>
      </c>
      <c r="F22" s="6">
        <f>N$5/E22</f>
        <v>29.411764705882351</v>
      </c>
      <c r="G22" s="25">
        <f>N$15/F22</f>
        <v>345.50536772239298</v>
      </c>
    </row>
    <row r="23" spans="4:7" x14ac:dyDescent="0.25">
      <c r="D23" s="2" t="s">
        <v>44</v>
      </c>
      <c r="E23" s="2">
        <v>17</v>
      </c>
      <c r="F23" s="6">
        <f>N$5/E23</f>
        <v>29.411764705882351</v>
      </c>
      <c r="G23" s="25">
        <f>N$15/F23</f>
        <v>345.50536772239298</v>
      </c>
    </row>
    <row r="24" spans="4:7" x14ac:dyDescent="0.25">
      <c r="D24" s="2" t="s">
        <v>45</v>
      </c>
      <c r="E24" s="2">
        <v>16</v>
      </c>
      <c r="F24" s="6">
        <f>N$5/E24</f>
        <v>31.25</v>
      </c>
      <c r="G24" s="25">
        <f>N$15/F24</f>
        <v>325.18152256225216</v>
      </c>
    </row>
    <row r="25" spans="4:7" x14ac:dyDescent="0.25">
      <c r="D25" s="2" t="s">
        <v>46</v>
      </c>
      <c r="E25" s="2">
        <v>20</v>
      </c>
      <c r="F25" s="6">
        <f>N$5/E25</f>
        <v>25</v>
      </c>
      <c r="G25" s="25">
        <f>N$15/F25</f>
        <v>406.47690320281521</v>
      </c>
    </row>
    <row r="27" spans="4:7" x14ac:dyDescent="0.25">
      <c r="D27" s="45" t="s">
        <v>53</v>
      </c>
      <c r="E27" s="45"/>
      <c r="F27" s="45"/>
      <c r="G27" s="45"/>
    </row>
    <row r="28" spans="4:7" x14ac:dyDescent="0.25">
      <c r="D28" s="5" t="s">
        <v>1</v>
      </c>
      <c r="E28" s="5" t="s">
        <v>2</v>
      </c>
      <c r="F28" s="5" t="s">
        <v>9</v>
      </c>
      <c r="G28" s="14" t="s">
        <v>10</v>
      </c>
    </row>
    <row r="29" spans="4:7" x14ac:dyDescent="0.25">
      <c r="D29" s="2" t="s">
        <v>55</v>
      </c>
      <c r="E29" s="2">
        <v>28</v>
      </c>
      <c r="F29" s="6">
        <f t="shared" ref="F29:F34" si="0">N$5/E29</f>
        <v>17.857142857142858</v>
      </c>
      <c r="G29" s="25">
        <f t="shared" ref="G29:G34" si="1">N$15/F29</f>
        <v>569.06766448394126</v>
      </c>
    </row>
    <row r="30" spans="4:7" x14ac:dyDescent="0.25">
      <c r="D30" s="2" t="s">
        <v>56</v>
      </c>
      <c r="E30" s="2">
        <v>33</v>
      </c>
      <c r="F30" s="6">
        <f t="shared" si="0"/>
        <v>15.151515151515152</v>
      </c>
      <c r="G30" s="25">
        <f t="shared" si="1"/>
        <v>670.68689028464507</v>
      </c>
    </row>
    <row r="31" spans="4:7" x14ac:dyDescent="0.25">
      <c r="D31" s="2" t="s">
        <v>57</v>
      </c>
      <c r="E31" s="2">
        <v>24</v>
      </c>
      <c r="F31" s="6">
        <f t="shared" si="0"/>
        <v>20.833333333333332</v>
      </c>
      <c r="G31" s="25">
        <f t="shared" si="1"/>
        <v>487.77228384337832</v>
      </c>
    </row>
    <row r="32" spans="4:7" x14ac:dyDescent="0.25">
      <c r="D32" s="2" t="s">
        <v>58</v>
      </c>
      <c r="E32" s="2">
        <v>24</v>
      </c>
      <c r="F32" s="6">
        <f t="shared" si="0"/>
        <v>20.833333333333332</v>
      </c>
      <c r="G32" s="25">
        <f t="shared" si="1"/>
        <v>487.77228384337832</v>
      </c>
    </row>
    <row r="33" spans="4:7" x14ac:dyDescent="0.25">
      <c r="D33" s="2" t="s">
        <v>60</v>
      </c>
      <c r="E33" s="2">
        <v>24</v>
      </c>
      <c r="F33" s="6">
        <f t="shared" si="0"/>
        <v>20.833333333333332</v>
      </c>
      <c r="G33" s="25">
        <f t="shared" si="1"/>
        <v>487.77228384337832</v>
      </c>
    </row>
    <row r="34" spans="4:7" x14ac:dyDescent="0.25">
      <c r="D34" s="2" t="s">
        <v>59</v>
      </c>
      <c r="E34" s="2">
        <v>24</v>
      </c>
      <c r="F34" s="6">
        <f t="shared" si="0"/>
        <v>20.833333333333332</v>
      </c>
      <c r="G34" s="25">
        <f t="shared" si="1"/>
        <v>487.77228384337832</v>
      </c>
    </row>
    <row r="36" spans="4:7" x14ac:dyDescent="0.25">
      <c r="D36" s="45" t="s">
        <v>54</v>
      </c>
      <c r="E36" s="45"/>
      <c r="F36" s="45"/>
      <c r="G36" s="45"/>
    </row>
    <row r="37" spans="4:7" x14ac:dyDescent="0.25">
      <c r="D37" s="5" t="s">
        <v>1</v>
      </c>
      <c r="E37" s="5" t="s">
        <v>2</v>
      </c>
      <c r="F37" s="5" t="s">
        <v>9</v>
      </c>
      <c r="G37" s="14" t="s">
        <v>10</v>
      </c>
    </row>
    <row r="38" spans="4:7" x14ac:dyDescent="0.25">
      <c r="D38" s="2" t="s">
        <v>61</v>
      </c>
      <c r="E38" s="2">
        <v>31</v>
      </c>
      <c r="F38" s="6">
        <f>N$5/E38</f>
        <v>16.129032258064516</v>
      </c>
      <c r="G38" s="25">
        <f>N$15/F38</f>
        <v>630.03919996436366</v>
      </c>
    </row>
    <row r="39" spans="4:7" x14ac:dyDescent="0.25">
      <c r="D39" s="2" t="s">
        <v>62</v>
      </c>
      <c r="E39" s="2">
        <v>34</v>
      </c>
      <c r="F39" s="6">
        <f>N$5/E39</f>
        <v>14.705882352941176</v>
      </c>
      <c r="G39" s="25">
        <f>N$15/F39</f>
        <v>691.01073544478595</v>
      </c>
    </row>
    <row r="40" spans="4:7" x14ac:dyDescent="0.25">
      <c r="D40" s="2" t="s">
        <v>63</v>
      </c>
      <c r="E40" s="2">
        <v>34</v>
      </c>
      <c r="F40" s="6">
        <f>N$5/E40</f>
        <v>14.705882352941176</v>
      </c>
      <c r="G40" s="25">
        <f>N$15/F40</f>
        <v>691.01073544478595</v>
      </c>
    </row>
    <row r="41" spans="4:7" x14ac:dyDescent="0.25">
      <c r="D41" s="2" t="s">
        <v>64</v>
      </c>
      <c r="E41" s="2">
        <v>36</v>
      </c>
      <c r="F41" s="6">
        <f>N$5/E41</f>
        <v>13.888888888888889</v>
      </c>
      <c r="G41" s="25">
        <f>N$15/F41</f>
        <v>731.65842576506736</v>
      </c>
    </row>
    <row r="42" spans="4:7" x14ac:dyDescent="0.25">
      <c r="D42" s="2" t="s">
        <v>65</v>
      </c>
      <c r="E42" s="2">
        <v>9</v>
      </c>
      <c r="F42" s="6">
        <f>N$5/E42</f>
        <v>55.555555555555557</v>
      </c>
      <c r="G42" s="25">
        <f>N$15/F42</f>
        <v>182.91460644126684</v>
      </c>
    </row>
    <row r="44" spans="4:7" x14ac:dyDescent="0.25">
      <c r="D44" s="45" t="s">
        <v>3</v>
      </c>
      <c r="E44" s="45"/>
      <c r="F44" s="45"/>
      <c r="G44" s="45"/>
    </row>
    <row r="45" spans="4:7" x14ac:dyDescent="0.25">
      <c r="D45" s="5" t="s">
        <v>1</v>
      </c>
      <c r="E45" s="5" t="s">
        <v>2</v>
      </c>
      <c r="F45" s="5" t="s">
        <v>9</v>
      </c>
      <c r="G45" s="14" t="s">
        <v>10</v>
      </c>
    </row>
    <row r="46" spans="4:7" x14ac:dyDescent="0.25">
      <c r="D46" s="2" t="s">
        <v>4</v>
      </c>
      <c r="E46" s="2">
        <v>40</v>
      </c>
      <c r="F46" s="2">
        <f>N$5/E46</f>
        <v>12.5</v>
      </c>
      <c r="G46" s="25">
        <f>N$15/F46</f>
        <v>812.95380640563042</v>
      </c>
    </row>
    <row r="47" spans="4:7" x14ac:dyDescent="0.25">
      <c r="D47" s="2" t="s">
        <v>5</v>
      </c>
      <c r="E47" s="2">
        <v>40</v>
      </c>
      <c r="F47" s="2">
        <f>N$5/E47</f>
        <v>12.5</v>
      </c>
      <c r="G47" s="25">
        <f>N$15/F47</f>
        <v>812.95380640563042</v>
      </c>
    </row>
    <row r="48" spans="4:7" x14ac:dyDescent="0.25">
      <c r="D48" s="2" t="s">
        <v>6</v>
      </c>
      <c r="E48" s="2">
        <v>40</v>
      </c>
      <c r="F48" s="2">
        <f>N$5/E48</f>
        <v>12.5</v>
      </c>
      <c r="G48" s="25">
        <f>N$15/F48</f>
        <v>812.95380640563042</v>
      </c>
    </row>
    <row r="49" spans="4:7" x14ac:dyDescent="0.25">
      <c r="D49" s="2" t="s">
        <v>7</v>
      </c>
      <c r="E49" s="2">
        <v>40</v>
      </c>
      <c r="F49" s="2">
        <f>N$5/E49</f>
        <v>12.5</v>
      </c>
      <c r="G49" s="25">
        <f>N$15/F49</f>
        <v>812.95380640563042</v>
      </c>
    </row>
    <row r="50" spans="4:7" x14ac:dyDescent="0.25">
      <c r="D50" s="2" t="s">
        <v>8</v>
      </c>
      <c r="E50" s="2">
        <v>40</v>
      </c>
      <c r="F50" s="2">
        <f>N$5/E50</f>
        <v>12.5</v>
      </c>
      <c r="G50" s="25">
        <f>N$15/F50</f>
        <v>812.95380640563042</v>
      </c>
    </row>
    <row r="52" spans="4:7" x14ac:dyDescent="0.25">
      <c r="D52" s="45" t="s">
        <v>11</v>
      </c>
      <c r="E52" s="45"/>
      <c r="F52" s="45"/>
      <c r="G52" s="45"/>
    </row>
    <row r="53" spans="4:7" x14ac:dyDescent="0.25">
      <c r="D53" s="5" t="s">
        <v>1</v>
      </c>
      <c r="E53" s="5" t="s">
        <v>2</v>
      </c>
      <c r="F53" s="5" t="s">
        <v>9</v>
      </c>
      <c r="G53" s="14" t="s">
        <v>10</v>
      </c>
    </row>
    <row r="54" spans="4:7" x14ac:dyDescent="0.25">
      <c r="D54" s="2" t="s">
        <v>176</v>
      </c>
      <c r="E54" s="2">
        <v>48</v>
      </c>
      <c r="F54" s="6">
        <f t="shared" ref="F54:F59" si="2">N$5/E54</f>
        <v>10.416666666666666</v>
      </c>
      <c r="G54" s="25">
        <f t="shared" ref="G54:G59" si="3">N$15/F54</f>
        <v>975.54456768675664</v>
      </c>
    </row>
    <row r="55" spans="4:7" x14ac:dyDescent="0.25">
      <c r="D55" s="2" t="s">
        <v>12</v>
      </c>
      <c r="E55" s="2">
        <v>51</v>
      </c>
      <c r="F55" s="6">
        <f t="shared" si="2"/>
        <v>9.8039215686274517</v>
      </c>
      <c r="G55" s="25">
        <f t="shared" si="3"/>
        <v>1036.5161031671787</v>
      </c>
    </row>
    <row r="56" spans="4:7" x14ac:dyDescent="0.25">
      <c r="D56" s="2" t="s">
        <v>13</v>
      </c>
      <c r="E56" s="2">
        <v>51</v>
      </c>
      <c r="F56" s="6">
        <f t="shared" si="2"/>
        <v>9.8039215686274517</v>
      </c>
      <c r="G56" s="25">
        <f t="shared" si="3"/>
        <v>1036.5161031671787</v>
      </c>
    </row>
    <row r="57" spans="4:7" x14ac:dyDescent="0.25">
      <c r="D57" s="2" t="s">
        <v>14</v>
      </c>
      <c r="E57" s="2">
        <v>51</v>
      </c>
      <c r="F57" s="6">
        <f t="shared" si="2"/>
        <v>9.8039215686274517</v>
      </c>
      <c r="G57" s="25">
        <f t="shared" si="3"/>
        <v>1036.5161031671787</v>
      </c>
    </row>
    <row r="58" spans="4:7" x14ac:dyDescent="0.25">
      <c r="D58" s="2" t="s">
        <v>20</v>
      </c>
      <c r="E58" s="2">
        <v>51</v>
      </c>
      <c r="F58" s="6">
        <f t="shared" si="2"/>
        <v>9.8039215686274517</v>
      </c>
      <c r="G58" s="25">
        <f t="shared" si="3"/>
        <v>1036.5161031671787</v>
      </c>
    </row>
    <row r="59" spans="4:7" x14ac:dyDescent="0.25">
      <c r="D59" s="2" t="s">
        <v>21</v>
      </c>
      <c r="E59" s="2">
        <v>51</v>
      </c>
      <c r="F59" s="6">
        <f t="shared" si="2"/>
        <v>9.8039215686274517</v>
      </c>
      <c r="G59" s="25">
        <f t="shared" si="3"/>
        <v>1036.5161031671787</v>
      </c>
    </row>
    <row r="61" spans="4:7" x14ac:dyDescent="0.25">
      <c r="D61" s="45" t="s">
        <v>22</v>
      </c>
      <c r="E61" s="45"/>
      <c r="F61" s="45"/>
      <c r="G61" s="45"/>
    </row>
    <row r="62" spans="4:7" x14ac:dyDescent="0.25">
      <c r="D62" s="5" t="s">
        <v>1</v>
      </c>
      <c r="E62" s="5" t="s">
        <v>2</v>
      </c>
      <c r="F62" s="5" t="s">
        <v>9</v>
      </c>
      <c r="G62" s="14" t="s">
        <v>10</v>
      </c>
    </row>
    <row r="63" spans="4:7" x14ac:dyDescent="0.25">
      <c r="D63" s="2" t="s">
        <v>174</v>
      </c>
      <c r="E63" s="2">
        <v>61</v>
      </c>
      <c r="F63" s="6">
        <f t="shared" ref="F63:F69" si="4">N$5/E63</f>
        <v>8.1967213114754092</v>
      </c>
      <c r="G63" s="25">
        <f t="shared" ref="G63:G69" si="5">N$15/F63</f>
        <v>1239.7545547685866</v>
      </c>
    </row>
    <row r="64" spans="4:7" x14ac:dyDescent="0.25">
      <c r="D64" s="2" t="s">
        <v>23</v>
      </c>
      <c r="E64" s="2">
        <v>67</v>
      </c>
      <c r="F64" s="6">
        <f t="shared" si="4"/>
        <v>7.4626865671641793</v>
      </c>
      <c r="G64" s="25">
        <f t="shared" si="5"/>
        <v>1361.6976257294309</v>
      </c>
    </row>
    <row r="65" spans="4:7" x14ac:dyDescent="0.25">
      <c r="D65" s="2" t="s">
        <v>24</v>
      </c>
      <c r="E65" s="2">
        <v>67</v>
      </c>
      <c r="F65" s="6">
        <f t="shared" si="4"/>
        <v>7.4626865671641793</v>
      </c>
      <c r="G65" s="25">
        <f t="shared" si="5"/>
        <v>1361.6976257294309</v>
      </c>
    </row>
    <row r="66" spans="4:7" x14ac:dyDescent="0.25">
      <c r="D66" s="2" t="s">
        <v>25</v>
      </c>
      <c r="E66" s="2">
        <v>67</v>
      </c>
      <c r="F66" s="6">
        <f t="shared" si="4"/>
        <v>7.4626865671641793</v>
      </c>
      <c r="G66" s="25">
        <f t="shared" si="5"/>
        <v>1361.6976257294309</v>
      </c>
    </row>
    <row r="67" spans="4:7" x14ac:dyDescent="0.25">
      <c r="D67" s="2" t="s">
        <v>26</v>
      </c>
      <c r="E67" s="2">
        <v>67</v>
      </c>
      <c r="F67" s="6">
        <f t="shared" si="4"/>
        <v>7.4626865671641793</v>
      </c>
      <c r="G67" s="25">
        <f t="shared" si="5"/>
        <v>1361.6976257294309</v>
      </c>
    </row>
    <row r="68" spans="4:7" x14ac:dyDescent="0.25">
      <c r="D68" s="2" t="s">
        <v>27</v>
      </c>
      <c r="E68" s="2">
        <v>67</v>
      </c>
      <c r="F68" s="6">
        <f t="shared" si="4"/>
        <v>7.4626865671641793</v>
      </c>
      <c r="G68" s="25">
        <f t="shared" si="5"/>
        <v>1361.6976257294309</v>
      </c>
    </row>
    <row r="69" spans="4:7" x14ac:dyDescent="0.25">
      <c r="D69" s="2" t="s">
        <v>28</v>
      </c>
      <c r="E69" s="2">
        <v>69</v>
      </c>
      <c r="F69" s="6">
        <f t="shared" si="4"/>
        <v>7.2463768115942031</v>
      </c>
      <c r="G69" s="25">
        <f t="shared" si="5"/>
        <v>1402.3453160497124</v>
      </c>
    </row>
    <row r="71" spans="4:7" x14ac:dyDescent="0.25">
      <c r="D71" s="45" t="s">
        <v>29</v>
      </c>
      <c r="E71" s="45"/>
      <c r="F71" s="45"/>
      <c r="G71" s="45"/>
    </row>
    <row r="72" spans="4:7" x14ac:dyDescent="0.25">
      <c r="D72" s="5" t="s">
        <v>1</v>
      </c>
      <c r="E72" s="5" t="s">
        <v>2</v>
      </c>
      <c r="F72" s="5" t="s">
        <v>9</v>
      </c>
      <c r="G72" s="14" t="s">
        <v>10</v>
      </c>
    </row>
    <row r="73" spans="4:7" x14ac:dyDescent="0.25">
      <c r="D73" s="2" t="s">
        <v>30</v>
      </c>
      <c r="E73" s="2">
        <v>75</v>
      </c>
      <c r="F73" s="6">
        <f t="shared" ref="F73:F78" si="6">N$5/E73</f>
        <v>6.666666666666667</v>
      </c>
      <c r="G73" s="25">
        <f t="shared" ref="G73:G78" si="7">N$15/F73</f>
        <v>1524.288387010557</v>
      </c>
    </row>
    <row r="74" spans="4:7" x14ac:dyDescent="0.25">
      <c r="D74" s="2" t="s">
        <v>31</v>
      </c>
      <c r="E74" s="2">
        <v>75</v>
      </c>
      <c r="F74" s="6">
        <f t="shared" si="6"/>
        <v>6.666666666666667</v>
      </c>
      <c r="G74" s="25">
        <f t="shared" si="7"/>
        <v>1524.288387010557</v>
      </c>
    </row>
    <row r="75" spans="4:7" x14ac:dyDescent="0.25">
      <c r="D75" s="2" t="s">
        <v>32</v>
      </c>
      <c r="E75" s="2">
        <v>75</v>
      </c>
      <c r="F75" s="6">
        <f t="shared" si="6"/>
        <v>6.666666666666667</v>
      </c>
      <c r="G75" s="25">
        <f t="shared" si="7"/>
        <v>1524.288387010557</v>
      </c>
    </row>
    <row r="76" spans="4:7" x14ac:dyDescent="0.25">
      <c r="D76" s="2" t="s">
        <v>33</v>
      </c>
      <c r="E76" s="2">
        <v>75</v>
      </c>
      <c r="F76" s="6">
        <f t="shared" si="6"/>
        <v>6.666666666666667</v>
      </c>
      <c r="G76" s="25">
        <f t="shared" si="7"/>
        <v>1524.288387010557</v>
      </c>
    </row>
    <row r="77" spans="4:7" x14ac:dyDescent="0.25">
      <c r="D77" s="2" t="s">
        <v>34</v>
      </c>
      <c r="E77" s="2">
        <v>75</v>
      </c>
      <c r="F77" s="6">
        <f t="shared" si="6"/>
        <v>6.666666666666667</v>
      </c>
      <c r="G77" s="25">
        <f t="shared" si="7"/>
        <v>1524.288387010557</v>
      </c>
    </row>
    <row r="78" spans="4:7" x14ac:dyDescent="0.25">
      <c r="D78" s="2" t="s">
        <v>35</v>
      </c>
      <c r="E78" s="2">
        <v>75</v>
      </c>
      <c r="F78" s="6">
        <f t="shared" si="6"/>
        <v>6.666666666666667</v>
      </c>
      <c r="G78" s="25">
        <f t="shared" si="7"/>
        <v>1524.288387010557</v>
      </c>
    </row>
    <row r="80" spans="4:7" x14ac:dyDescent="0.25">
      <c r="D80" s="45" t="s">
        <v>84</v>
      </c>
      <c r="E80" s="45"/>
      <c r="F80" s="45"/>
      <c r="G80" s="45"/>
    </row>
    <row r="81" spans="4:7" x14ac:dyDescent="0.25">
      <c r="D81" s="5" t="s">
        <v>1</v>
      </c>
      <c r="E81" s="5" t="s">
        <v>2</v>
      </c>
      <c r="F81" s="5" t="s">
        <v>9</v>
      </c>
      <c r="G81" s="14" t="s">
        <v>10</v>
      </c>
    </row>
    <row r="82" spans="4:7" x14ac:dyDescent="0.25">
      <c r="D82" s="39" t="s">
        <v>189</v>
      </c>
      <c r="E82" s="40"/>
      <c r="F82" s="40"/>
      <c r="G82" s="41"/>
    </row>
    <row r="83" spans="4:7" x14ac:dyDescent="0.25">
      <c r="D83" s="18" t="s">
        <v>125</v>
      </c>
      <c r="E83" s="18">
        <v>506</v>
      </c>
      <c r="F83" s="19">
        <f t="shared" ref="F83:F94" si="8">N$5/E83</f>
        <v>0.98814229249011853</v>
      </c>
      <c r="G83" s="28">
        <f t="shared" ref="G83:G94" si="9">N$15/F83</f>
        <v>10283.865651031225</v>
      </c>
    </row>
    <row r="84" spans="4:7" x14ac:dyDescent="0.25">
      <c r="D84" s="18" t="s">
        <v>126</v>
      </c>
      <c r="E84" s="18">
        <v>101</v>
      </c>
      <c r="F84" s="19">
        <f t="shared" si="8"/>
        <v>4.9504950495049505</v>
      </c>
      <c r="G84" s="28">
        <f t="shared" si="9"/>
        <v>2052.7083611742169</v>
      </c>
    </row>
    <row r="85" spans="4:7" x14ac:dyDescent="0.25">
      <c r="D85" s="18" t="s">
        <v>128</v>
      </c>
      <c r="E85" s="18">
        <v>101</v>
      </c>
      <c r="F85" s="19">
        <f t="shared" si="8"/>
        <v>4.9504950495049505</v>
      </c>
      <c r="G85" s="28">
        <f t="shared" si="9"/>
        <v>2052.7083611742169</v>
      </c>
    </row>
    <row r="86" spans="4:7" x14ac:dyDescent="0.25">
      <c r="D86" s="18" t="s">
        <v>130</v>
      </c>
      <c r="E86" s="18">
        <v>101</v>
      </c>
      <c r="F86" s="19">
        <f t="shared" si="8"/>
        <v>4.9504950495049505</v>
      </c>
      <c r="G86" s="28">
        <f t="shared" si="9"/>
        <v>2052.7083611742169</v>
      </c>
    </row>
    <row r="87" spans="4:7" x14ac:dyDescent="0.25">
      <c r="D87" s="18" t="s">
        <v>132</v>
      </c>
      <c r="E87" s="18">
        <v>101</v>
      </c>
      <c r="F87" s="19">
        <f t="shared" si="8"/>
        <v>4.9504950495049505</v>
      </c>
      <c r="G87" s="28">
        <f t="shared" si="9"/>
        <v>2052.7083611742169</v>
      </c>
    </row>
    <row r="88" spans="4:7" x14ac:dyDescent="0.25">
      <c r="D88" s="18" t="s">
        <v>134</v>
      </c>
      <c r="E88" s="18">
        <v>101</v>
      </c>
      <c r="F88" s="19">
        <f t="shared" si="8"/>
        <v>4.9504950495049505</v>
      </c>
      <c r="G88" s="28">
        <f t="shared" si="9"/>
        <v>2052.7083611742169</v>
      </c>
    </row>
    <row r="89" spans="4:7" x14ac:dyDescent="0.25">
      <c r="D89" s="18" t="s">
        <v>66</v>
      </c>
      <c r="E89" s="18">
        <v>84</v>
      </c>
      <c r="F89" s="19">
        <f t="shared" si="8"/>
        <v>5.9523809523809526</v>
      </c>
      <c r="G89" s="28">
        <f t="shared" si="9"/>
        <v>1707.2029934518239</v>
      </c>
    </row>
    <row r="90" spans="4:7" x14ac:dyDescent="0.25">
      <c r="D90" s="18" t="s">
        <v>127</v>
      </c>
      <c r="E90" s="18">
        <v>16</v>
      </c>
      <c r="F90" s="19">
        <f t="shared" si="8"/>
        <v>31.25</v>
      </c>
      <c r="G90" s="28">
        <f t="shared" si="9"/>
        <v>325.18152256225216</v>
      </c>
    </row>
    <row r="91" spans="4:7" x14ac:dyDescent="0.25">
      <c r="D91" s="18" t="s">
        <v>129</v>
      </c>
      <c r="E91" s="18">
        <v>16</v>
      </c>
      <c r="F91" s="19">
        <f t="shared" si="8"/>
        <v>31.25</v>
      </c>
      <c r="G91" s="28">
        <f t="shared" si="9"/>
        <v>325.18152256225216</v>
      </c>
    </row>
    <row r="92" spans="4:7" x14ac:dyDescent="0.25">
      <c r="D92" s="18" t="s">
        <v>131</v>
      </c>
      <c r="E92" s="18">
        <v>16</v>
      </c>
      <c r="F92" s="19">
        <f t="shared" si="8"/>
        <v>31.25</v>
      </c>
      <c r="G92" s="28">
        <f t="shared" si="9"/>
        <v>325.18152256225216</v>
      </c>
    </row>
    <row r="93" spans="4:7" x14ac:dyDescent="0.25">
      <c r="D93" s="18" t="s">
        <v>133</v>
      </c>
      <c r="E93" s="18">
        <v>16</v>
      </c>
      <c r="F93" s="19">
        <f t="shared" si="8"/>
        <v>31.25</v>
      </c>
      <c r="G93" s="28">
        <f t="shared" si="9"/>
        <v>325.18152256225216</v>
      </c>
    </row>
    <row r="94" spans="4:7" x14ac:dyDescent="0.25">
      <c r="D94" s="18" t="s">
        <v>135</v>
      </c>
      <c r="E94" s="18">
        <v>16</v>
      </c>
      <c r="F94" s="19">
        <f t="shared" si="8"/>
        <v>31.25</v>
      </c>
      <c r="G94" s="28">
        <f t="shared" si="9"/>
        <v>325.18152256225216</v>
      </c>
    </row>
    <row r="95" spans="4:7" x14ac:dyDescent="0.25">
      <c r="D95" s="42" t="s">
        <v>190</v>
      </c>
      <c r="E95" s="43"/>
      <c r="F95" s="43"/>
      <c r="G95" s="44"/>
    </row>
    <row r="96" spans="4:7" x14ac:dyDescent="0.25">
      <c r="D96" s="10" t="s">
        <v>124</v>
      </c>
      <c r="E96" s="10">
        <v>506</v>
      </c>
      <c r="F96" s="11">
        <f t="shared" ref="F96:F107" si="10">N$5/E96</f>
        <v>0.98814229249011853</v>
      </c>
      <c r="G96" s="29">
        <f t="shared" ref="G96:G107" si="11">N$15/F96</f>
        <v>10283.865651031225</v>
      </c>
    </row>
    <row r="97" spans="4:7" x14ac:dyDescent="0.25">
      <c r="D97" s="10" t="s">
        <v>99</v>
      </c>
      <c r="E97" s="10">
        <v>101</v>
      </c>
      <c r="F97" s="11">
        <f t="shared" si="10"/>
        <v>4.9504950495049505</v>
      </c>
      <c r="G97" s="29">
        <f t="shared" si="11"/>
        <v>2052.7083611742169</v>
      </c>
    </row>
    <row r="98" spans="4:7" x14ac:dyDescent="0.25">
      <c r="D98" s="10" t="s">
        <v>86</v>
      </c>
      <c r="E98" s="10">
        <v>101</v>
      </c>
      <c r="F98" s="11">
        <f t="shared" si="10"/>
        <v>4.9504950495049505</v>
      </c>
      <c r="G98" s="29">
        <f t="shared" si="11"/>
        <v>2052.7083611742169</v>
      </c>
    </row>
    <row r="99" spans="4:7" x14ac:dyDescent="0.25">
      <c r="D99" s="10" t="s">
        <v>94</v>
      </c>
      <c r="E99" s="10">
        <v>101</v>
      </c>
      <c r="F99" s="11">
        <f t="shared" si="10"/>
        <v>4.9504950495049505</v>
      </c>
      <c r="G99" s="29">
        <f t="shared" si="11"/>
        <v>2052.7083611742169</v>
      </c>
    </row>
    <row r="100" spans="4:7" x14ac:dyDescent="0.25">
      <c r="D100" s="10" t="s">
        <v>96</v>
      </c>
      <c r="E100" s="10">
        <v>101</v>
      </c>
      <c r="F100" s="11">
        <f t="shared" si="10"/>
        <v>4.9504950495049505</v>
      </c>
      <c r="G100" s="29">
        <f t="shared" si="11"/>
        <v>2052.7083611742169</v>
      </c>
    </row>
    <row r="101" spans="4:7" x14ac:dyDescent="0.25">
      <c r="D101" s="10" t="s">
        <v>87</v>
      </c>
      <c r="E101" s="10">
        <v>101</v>
      </c>
      <c r="F101" s="11">
        <f t="shared" si="10"/>
        <v>4.9504950495049505</v>
      </c>
      <c r="G101" s="29">
        <f t="shared" si="11"/>
        <v>2052.7083611742169</v>
      </c>
    </row>
    <row r="102" spans="4:7" x14ac:dyDescent="0.25">
      <c r="D102" s="10" t="s">
        <v>123</v>
      </c>
      <c r="E102" s="10">
        <v>84</v>
      </c>
      <c r="F102" s="11">
        <f t="shared" si="10"/>
        <v>5.9523809523809526</v>
      </c>
      <c r="G102" s="29">
        <f t="shared" si="11"/>
        <v>1707.2029934518239</v>
      </c>
    </row>
    <row r="103" spans="4:7" x14ac:dyDescent="0.25">
      <c r="D103" s="10" t="s">
        <v>98</v>
      </c>
      <c r="E103" s="10">
        <v>16.8</v>
      </c>
      <c r="F103" s="11">
        <f t="shared" si="10"/>
        <v>29.761904761904759</v>
      </c>
      <c r="G103" s="29">
        <f t="shared" si="11"/>
        <v>341.44059869036482</v>
      </c>
    </row>
    <row r="104" spans="4:7" x14ac:dyDescent="0.25">
      <c r="D104" s="10" t="s">
        <v>92</v>
      </c>
      <c r="E104" s="10">
        <v>16.8</v>
      </c>
      <c r="F104" s="11">
        <f t="shared" si="10"/>
        <v>29.761904761904759</v>
      </c>
      <c r="G104" s="29">
        <f t="shared" si="11"/>
        <v>341.44059869036482</v>
      </c>
    </row>
    <row r="105" spans="4:7" x14ac:dyDescent="0.25">
      <c r="D105" s="10" t="s">
        <v>93</v>
      </c>
      <c r="E105" s="10">
        <v>16.8</v>
      </c>
      <c r="F105" s="11">
        <f t="shared" si="10"/>
        <v>29.761904761904759</v>
      </c>
      <c r="G105" s="29">
        <f t="shared" si="11"/>
        <v>341.44059869036482</v>
      </c>
    </row>
    <row r="106" spans="4:7" x14ac:dyDescent="0.25">
      <c r="D106" s="10" t="s">
        <v>95</v>
      </c>
      <c r="E106" s="10">
        <v>16.8</v>
      </c>
      <c r="F106" s="11">
        <f t="shared" si="10"/>
        <v>29.761904761904759</v>
      </c>
      <c r="G106" s="29">
        <f t="shared" si="11"/>
        <v>341.44059869036482</v>
      </c>
    </row>
    <row r="107" spans="4:7" x14ac:dyDescent="0.25">
      <c r="D107" s="10" t="s">
        <v>97</v>
      </c>
      <c r="E107" s="10">
        <v>16.8</v>
      </c>
      <c r="F107" s="11">
        <f t="shared" si="10"/>
        <v>29.761904761904759</v>
      </c>
      <c r="G107" s="29">
        <f t="shared" si="11"/>
        <v>341.44059869036482</v>
      </c>
    </row>
    <row r="108" spans="4:7" x14ac:dyDescent="0.25">
      <c r="D108" s="49" t="s">
        <v>191</v>
      </c>
      <c r="E108" s="50"/>
      <c r="F108" s="50"/>
      <c r="G108" s="51"/>
    </row>
    <row r="109" spans="4:7" x14ac:dyDescent="0.25">
      <c r="D109" s="16" t="s">
        <v>119</v>
      </c>
      <c r="E109" s="16">
        <v>506</v>
      </c>
      <c r="F109" s="17">
        <f t="shared" ref="F109:F120" si="12">N$5/E109</f>
        <v>0.98814229249011853</v>
      </c>
      <c r="G109" s="30">
        <f t="shared" ref="G109:G120" si="13">N$15/F109</f>
        <v>10283.865651031225</v>
      </c>
    </row>
    <row r="110" spans="4:7" x14ac:dyDescent="0.25">
      <c r="D110" s="16" t="s">
        <v>120</v>
      </c>
      <c r="E110" s="16">
        <v>101</v>
      </c>
      <c r="F110" s="17">
        <f t="shared" si="12"/>
        <v>4.9504950495049505</v>
      </c>
      <c r="G110" s="30">
        <f t="shared" si="13"/>
        <v>2052.7083611742169</v>
      </c>
    </row>
    <row r="111" spans="4:7" x14ac:dyDescent="0.25">
      <c r="D111" s="16" t="s">
        <v>114</v>
      </c>
      <c r="E111" s="16">
        <v>101</v>
      </c>
      <c r="F111" s="17">
        <f t="shared" si="12"/>
        <v>4.9504950495049505</v>
      </c>
      <c r="G111" s="30">
        <f t="shared" si="13"/>
        <v>2052.7083611742169</v>
      </c>
    </row>
    <row r="112" spans="4:7" x14ac:dyDescent="0.25">
      <c r="D112" s="16" t="s">
        <v>115</v>
      </c>
      <c r="E112" s="16">
        <v>101</v>
      </c>
      <c r="F112" s="17">
        <f t="shared" si="12"/>
        <v>4.9504950495049505</v>
      </c>
      <c r="G112" s="30">
        <f t="shared" si="13"/>
        <v>2052.7083611742169</v>
      </c>
    </row>
    <row r="113" spans="4:7" x14ac:dyDescent="0.25">
      <c r="D113" s="16" t="s">
        <v>117</v>
      </c>
      <c r="E113" s="16">
        <v>101</v>
      </c>
      <c r="F113" s="17">
        <f t="shared" si="12"/>
        <v>4.9504950495049505</v>
      </c>
      <c r="G113" s="30">
        <f t="shared" si="13"/>
        <v>2052.7083611742169</v>
      </c>
    </row>
    <row r="114" spans="4:7" x14ac:dyDescent="0.25">
      <c r="D114" s="16" t="s">
        <v>121</v>
      </c>
      <c r="E114" s="16">
        <v>101</v>
      </c>
      <c r="F114" s="17">
        <f t="shared" si="12"/>
        <v>4.9504950495049505</v>
      </c>
      <c r="G114" s="30">
        <f t="shared" si="13"/>
        <v>2052.7083611742169</v>
      </c>
    </row>
    <row r="115" spans="4:7" x14ac:dyDescent="0.25">
      <c r="D115" s="16" t="s">
        <v>109</v>
      </c>
      <c r="E115" s="16">
        <v>84</v>
      </c>
      <c r="F115" s="17">
        <f t="shared" si="12"/>
        <v>5.9523809523809526</v>
      </c>
      <c r="G115" s="30">
        <f t="shared" si="13"/>
        <v>1707.2029934518239</v>
      </c>
    </row>
    <row r="116" spans="4:7" x14ac:dyDescent="0.25">
      <c r="D116" s="16" t="s">
        <v>88</v>
      </c>
      <c r="E116" s="16">
        <v>16.8</v>
      </c>
      <c r="F116" s="17">
        <f t="shared" si="12"/>
        <v>29.761904761904759</v>
      </c>
      <c r="G116" s="30">
        <f t="shared" si="13"/>
        <v>341.44059869036482</v>
      </c>
    </row>
    <row r="117" spans="4:7" x14ac:dyDescent="0.25">
      <c r="D117" s="16" t="s">
        <v>113</v>
      </c>
      <c r="E117" s="16">
        <v>16</v>
      </c>
      <c r="F117" s="17">
        <f t="shared" si="12"/>
        <v>31.25</v>
      </c>
      <c r="G117" s="30">
        <f t="shared" si="13"/>
        <v>325.18152256225216</v>
      </c>
    </row>
    <row r="118" spans="4:7" x14ac:dyDescent="0.25">
      <c r="D118" s="16" t="s">
        <v>116</v>
      </c>
      <c r="E118" s="16">
        <v>16</v>
      </c>
      <c r="F118" s="17">
        <f t="shared" si="12"/>
        <v>31.25</v>
      </c>
      <c r="G118" s="30">
        <f t="shared" si="13"/>
        <v>325.18152256225216</v>
      </c>
    </row>
    <row r="119" spans="4:7" x14ac:dyDescent="0.25">
      <c r="D119" s="16" t="s">
        <v>118</v>
      </c>
      <c r="E119" s="16">
        <v>16</v>
      </c>
      <c r="F119" s="17">
        <f t="shared" si="12"/>
        <v>31.25</v>
      </c>
      <c r="G119" s="30">
        <f t="shared" si="13"/>
        <v>325.18152256225216</v>
      </c>
    </row>
    <row r="120" spans="4:7" x14ac:dyDescent="0.25">
      <c r="D120" s="16" t="s">
        <v>122</v>
      </c>
      <c r="E120" s="16">
        <v>16</v>
      </c>
      <c r="F120" s="17">
        <f t="shared" si="12"/>
        <v>31.25</v>
      </c>
      <c r="G120" s="30">
        <f t="shared" si="13"/>
        <v>325.18152256225216</v>
      </c>
    </row>
    <row r="121" spans="4:7" x14ac:dyDescent="0.25">
      <c r="D121" s="46" t="s">
        <v>192</v>
      </c>
      <c r="E121" s="47"/>
      <c r="F121" s="47"/>
      <c r="G121" s="48"/>
    </row>
    <row r="122" spans="4:7" x14ac:dyDescent="0.25">
      <c r="D122" s="23" t="s">
        <v>188</v>
      </c>
      <c r="E122" s="23">
        <v>506</v>
      </c>
      <c r="F122" s="24">
        <f t="shared" ref="F122:F133" si="14">N$5/E122</f>
        <v>0.98814229249011853</v>
      </c>
      <c r="G122" s="14">
        <f t="shared" ref="G122:G133" si="15">N$15/F122</f>
        <v>10283.865651031225</v>
      </c>
    </row>
    <row r="123" spans="4:7" x14ac:dyDescent="0.25">
      <c r="D123" s="23" t="s">
        <v>164</v>
      </c>
      <c r="E123" s="23">
        <v>101</v>
      </c>
      <c r="F123" s="24">
        <f t="shared" si="14"/>
        <v>4.9504950495049505</v>
      </c>
      <c r="G123" s="14">
        <f t="shared" si="15"/>
        <v>2052.7083611742169</v>
      </c>
    </row>
    <row r="124" spans="4:7" x14ac:dyDescent="0.25">
      <c r="D124" s="23" t="s">
        <v>166</v>
      </c>
      <c r="E124" s="23">
        <v>101</v>
      </c>
      <c r="F124" s="24">
        <f t="shared" si="14"/>
        <v>4.9504950495049505</v>
      </c>
      <c r="G124" s="14">
        <f t="shared" si="15"/>
        <v>2052.7083611742169</v>
      </c>
    </row>
    <row r="125" spans="4:7" x14ac:dyDescent="0.25">
      <c r="D125" s="23" t="s">
        <v>167</v>
      </c>
      <c r="E125" s="23">
        <v>101</v>
      </c>
      <c r="F125" s="24">
        <f t="shared" si="14"/>
        <v>4.9504950495049505</v>
      </c>
      <c r="G125" s="14">
        <f t="shared" si="15"/>
        <v>2052.7083611742169</v>
      </c>
    </row>
    <row r="126" spans="4:7" x14ac:dyDescent="0.25">
      <c r="D126" s="23" t="s">
        <v>169</v>
      </c>
      <c r="E126" s="23">
        <v>101</v>
      </c>
      <c r="F126" s="24">
        <f t="shared" si="14"/>
        <v>4.9504950495049505</v>
      </c>
      <c r="G126" s="14">
        <f t="shared" si="15"/>
        <v>2052.7083611742169</v>
      </c>
    </row>
    <row r="127" spans="4:7" x14ac:dyDescent="0.25">
      <c r="D127" s="23" t="s">
        <v>170</v>
      </c>
      <c r="E127" s="23">
        <v>101</v>
      </c>
      <c r="F127" s="24">
        <f t="shared" si="14"/>
        <v>4.9504950495049505</v>
      </c>
      <c r="G127" s="14">
        <f t="shared" si="15"/>
        <v>2052.7083611742169</v>
      </c>
    </row>
    <row r="128" spans="4:7" x14ac:dyDescent="0.25">
      <c r="D128" s="23" t="s">
        <v>172</v>
      </c>
      <c r="E128" s="23">
        <v>84</v>
      </c>
      <c r="F128" s="24">
        <f t="shared" si="14"/>
        <v>5.9523809523809526</v>
      </c>
      <c r="G128" s="14">
        <f t="shared" si="15"/>
        <v>1707.2029934518239</v>
      </c>
    </row>
    <row r="129" spans="4:7" x14ac:dyDescent="0.25">
      <c r="D129" s="23" t="s">
        <v>163</v>
      </c>
      <c r="E129" s="23">
        <v>16</v>
      </c>
      <c r="F129" s="24">
        <f t="shared" si="14"/>
        <v>31.25</v>
      </c>
      <c r="G129" s="14">
        <f t="shared" si="15"/>
        <v>325.18152256225216</v>
      </c>
    </row>
    <row r="130" spans="4:7" x14ac:dyDescent="0.25">
      <c r="D130" s="23" t="s">
        <v>165</v>
      </c>
      <c r="E130" s="23">
        <v>16</v>
      </c>
      <c r="F130" s="24">
        <f t="shared" si="14"/>
        <v>31.25</v>
      </c>
      <c r="G130" s="14">
        <f t="shared" si="15"/>
        <v>325.18152256225216</v>
      </c>
    </row>
    <row r="131" spans="4:7" x14ac:dyDescent="0.25">
      <c r="D131" s="23" t="s">
        <v>173</v>
      </c>
      <c r="E131" s="23">
        <v>16</v>
      </c>
      <c r="F131" s="24">
        <f t="shared" si="14"/>
        <v>31.25</v>
      </c>
      <c r="G131" s="14">
        <f t="shared" si="15"/>
        <v>325.18152256225216</v>
      </c>
    </row>
    <row r="132" spans="4:7" x14ac:dyDescent="0.25">
      <c r="D132" s="23" t="s">
        <v>168</v>
      </c>
      <c r="E132" s="23">
        <v>16</v>
      </c>
      <c r="F132" s="24">
        <f t="shared" si="14"/>
        <v>31.25</v>
      </c>
      <c r="G132" s="14">
        <f t="shared" si="15"/>
        <v>325.18152256225216</v>
      </c>
    </row>
    <row r="133" spans="4:7" x14ac:dyDescent="0.25">
      <c r="D133" s="23" t="s">
        <v>171</v>
      </c>
      <c r="E133" s="23">
        <v>16</v>
      </c>
      <c r="F133" s="24">
        <f t="shared" si="14"/>
        <v>31.25</v>
      </c>
      <c r="G133" s="14">
        <f t="shared" si="15"/>
        <v>325.18152256225216</v>
      </c>
    </row>
    <row r="134" spans="4:7" x14ac:dyDescent="0.25">
      <c r="D134" s="27"/>
      <c r="E134" s="2"/>
      <c r="F134" s="6"/>
      <c r="G134" s="22"/>
    </row>
    <row r="135" spans="4:7" x14ac:dyDescent="0.25">
      <c r="D135" s="45" t="s">
        <v>77</v>
      </c>
      <c r="E135" s="45"/>
      <c r="F135" s="45"/>
      <c r="G135" s="45"/>
    </row>
    <row r="136" spans="4:7" x14ac:dyDescent="0.25">
      <c r="D136" s="2" t="s">
        <v>67</v>
      </c>
      <c r="E136" s="2">
        <v>10</v>
      </c>
      <c r="F136" s="6">
        <f t="shared" ref="F136:F149" si="16">N$5/E136</f>
        <v>50</v>
      </c>
      <c r="G136" s="25">
        <f t="shared" ref="G136:G149" si="17">N$15/F136</f>
        <v>203.2384516014076</v>
      </c>
    </row>
    <row r="137" spans="4:7" x14ac:dyDescent="0.25">
      <c r="D137" s="2" t="s">
        <v>68</v>
      </c>
      <c r="E137" s="2">
        <v>10</v>
      </c>
      <c r="F137" s="6">
        <f t="shared" si="16"/>
        <v>50</v>
      </c>
      <c r="G137" s="25">
        <f t="shared" si="17"/>
        <v>203.2384516014076</v>
      </c>
    </row>
    <row r="138" spans="4:7" x14ac:dyDescent="0.25">
      <c r="D138" s="2" t="s">
        <v>69</v>
      </c>
      <c r="E138" s="2">
        <v>10</v>
      </c>
      <c r="F138" s="6">
        <f t="shared" si="16"/>
        <v>50</v>
      </c>
      <c r="G138" s="25">
        <f t="shared" si="17"/>
        <v>203.2384516014076</v>
      </c>
    </row>
    <row r="139" spans="4:7" x14ac:dyDescent="0.25">
      <c r="D139" s="2" t="s">
        <v>70</v>
      </c>
      <c r="E139" s="2">
        <v>10</v>
      </c>
      <c r="F139" s="6">
        <f t="shared" si="16"/>
        <v>50</v>
      </c>
      <c r="G139" s="25">
        <f t="shared" si="17"/>
        <v>203.2384516014076</v>
      </c>
    </row>
    <row r="140" spans="4:7" x14ac:dyDescent="0.25">
      <c r="D140" s="2" t="s">
        <v>71</v>
      </c>
      <c r="E140" s="2">
        <v>10</v>
      </c>
      <c r="F140" s="6">
        <f t="shared" si="16"/>
        <v>50</v>
      </c>
      <c r="G140" s="25">
        <f t="shared" si="17"/>
        <v>203.2384516014076</v>
      </c>
    </row>
    <row r="141" spans="4:7" x14ac:dyDescent="0.25">
      <c r="D141" s="2" t="s">
        <v>89</v>
      </c>
      <c r="E141" s="2">
        <v>101</v>
      </c>
      <c r="F141" s="6">
        <f t="shared" si="16"/>
        <v>4.9504950495049505</v>
      </c>
      <c r="G141" s="25">
        <f t="shared" si="17"/>
        <v>2052.7083611742169</v>
      </c>
    </row>
    <row r="142" spans="4:7" x14ac:dyDescent="0.25">
      <c r="D142" s="2" t="s">
        <v>90</v>
      </c>
      <c r="E142" s="2">
        <v>101</v>
      </c>
      <c r="F142" s="6">
        <f t="shared" si="16"/>
        <v>4.9504950495049505</v>
      </c>
      <c r="G142" s="25">
        <f t="shared" si="17"/>
        <v>2052.7083611742169</v>
      </c>
    </row>
    <row r="143" spans="4:7" x14ac:dyDescent="0.25">
      <c r="D143" s="2" t="s">
        <v>91</v>
      </c>
      <c r="E143" s="2">
        <v>111</v>
      </c>
      <c r="F143" s="6">
        <f t="shared" si="16"/>
        <v>4.5045045045045047</v>
      </c>
      <c r="G143" s="25">
        <f t="shared" si="17"/>
        <v>2255.9468127756245</v>
      </c>
    </row>
    <row r="144" spans="4:7" x14ac:dyDescent="0.25">
      <c r="D144" s="2" t="s">
        <v>78</v>
      </c>
      <c r="E144" s="2">
        <v>640</v>
      </c>
      <c r="F144" s="2">
        <f t="shared" si="16"/>
        <v>0.78125</v>
      </c>
      <c r="G144" s="25">
        <f t="shared" si="17"/>
        <v>13007.260902490087</v>
      </c>
    </row>
    <row r="145" spans="4:7" x14ac:dyDescent="0.25">
      <c r="D145" s="2" t="s">
        <v>79</v>
      </c>
      <c r="E145" s="2">
        <v>640</v>
      </c>
      <c r="F145" s="2">
        <f t="shared" si="16"/>
        <v>0.78125</v>
      </c>
      <c r="G145" s="25">
        <f t="shared" si="17"/>
        <v>13007.260902490087</v>
      </c>
    </row>
    <row r="146" spans="4:7" x14ac:dyDescent="0.25">
      <c r="D146" s="2" t="s">
        <v>80</v>
      </c>
      <c r="E146" s="2">
        <v>640</v>
      </c>
      <c r="F146" s="2">
        <f t="shared" si="16"/>
        <v>0.78125</v>
      </c>
      <c r="G146" s="25">
        <f t="shared" si="17"/>
        <v>13007.260902490087</v>
      </c>
    </row>
    <row r="147" spans="4:7" x14ac:dyDescent="0.25">
      <c r="D147" s="2" t="s">
        <v>81</v>
      </c>
      <c r="E147" s="2">
        <v>640</v>
      </c>
      <c r="F147" s="2">
        <f t="shared" si="16"/>
        <v>0.78125</v>
      </c>
      <c r="G147" s="25">
        <f t="shared" si="17"/>
        <v>13007.260902490087</v>
      </c>
    </row>
    <row r="148" spans="4:7" x14ac:dyDescent="0.25">
      <c r="D148" s="2" t="s">
        <v>83</v>
      </c>
      <c r="E148" s="2">
        <v>640</v>
      </c>
      <c r="F148" s="2">
        <f t="shared" si="16"/>
        <v>0.78125</v>
      </c>
      <c r="G148" s="25">
        <f t="shared" si="17"/>
        <v>13007.260902490087</v>
      </c>
    </row>
    <row r="149" spans="4:7" x14ac:dyDescent="0.25">
      <c r="D149" s="2" t="s">
        <v>82</v>
      </c>
      <c r="E149" s="2">
        <v>640</v>
      </c>
      <c r="F149" s="2">
        <f t="shared" si="16"/>
        <v>0.78125</v>
      </c>
      <c r="G149" s="25">
        <f t="shared" si="17"/>
        <v>13007.260902490087</v>
      </c>
    </row>
    <row r="151" spans="4:7" x14ac:dyDescent="0.25">
      <c r="D151" s="45" t="s">
        <v>100</v>
      </c>
      <c r="E151" s="45"/>
      <c r="F151" s="45"/>
      <c r="G151" s="45"/>
    </row>
    <row r="152" spans="4:7" x14ac:dyDescent="0.25">
      <c r="D152" s="5" t="s">
        <v>1</v>
      </c>
      <c r="E152" s="5" t="s">
        <v>2</v>
      </c>
      <c r="F152" s="5" t="s">
        <v>9</v>
      </c>
      <c r="G152" s="14" t="s">
        <v>10</v>
      </c>
    </row>
    <row r="153" spans="4:7" x14ac:dyDescent="0.25">
      <c r="D153" s="2" t="s">
        <v>112</v>
      </c>
      <c r="E153" s="2">
        <v>75</v>
      </c>
      <c r="F153" s="6">
        <f>N$5/E153</f>
        <v>6.666666666666667</v>
      </c>
      <c r="G153" s="25">
        <f>N$15/F153</f>
        <v>1524.288387010557</v>
      </c>
    </row>
    <row r="155" spans="4:7" x14ac:dyDescent="0.25">
      <c r="D155" s="45" t="s">
        <v>101</v>
      </c>
      <c r="E155" s="45"/>
      <c r="F155" s="45"/>
      <c r="G155" s="45"/>
    </row>
    <row r="156" spans="4:7" x14ac:dyDescent="0.25">
      <c r="D156" s="2" t="s">
        <v>102</v>
      </c>
      <c r="E156" s="2">
        <v>84</v>
      </c>
      <c r="F156" s="6">
        <f t="shared" ref="F156:F162" si="18">N$5/E156</f>
        <v>5.9523809523809526</v>
      </c>
      <c r="G156" s="25">
        <f t="shared" ref="G156:G162" si="19">N$15/F156</f>
        <v>1707.2029934518239</v>
      </c>
    </row>
    <row r="157" spans="4:7" x14ac:dyDescent="0.25">
      <c r="D157" s="2" t="s">
        <v>103</v>
      </c>
      <c r="E157" s="2">
        <v>16.8</v>
      </c>
      <c r="F157" s="6">
        <f t="shared" si="18"/>
        <v>29.761904761904759</v>
      </c>
      <c r="G157" s="25">
        <f t="shared" si="19"/>
        <v>341.44059869036482</v>
      </c>
    </row>
    <row r="158" spans="4:7" x14ac:dyDescent="0.25">
      <c r="D158" s="2" t="s">
        <v>104</v>
      </c>
      <c r="E158" s="2">
        <v>24</v>
      </c>
      <c r="F158" s="6">
        <f t="shared" si="18"/>
        <v>20.833333333333332</v>
      </c>
      <c r="G158" s="25">
        <f t="shared" si="19"/>
        <v>487.77228384337832</v>
      </c>
    </row>
    <row r="159" spans="4:7" x14ac:dyDescent="0.25">
      <c r="D159" s="2" t="s">
        <v>105</v>
      </c>
      <c r="E159" s="2">
        <v>16.8</v>
      </c>
      <c r="F159" s="6">
        <f t="shared" si="18"/>
        <v>29.761904761904759</v>
      </c>
      <c r="G159" s="25">
        <f t="shared" si="19"/>
        <v>341.44059869036482</v>
      </c>
    </row>
    <row r="160" spans="4:7" x14ac:dyDescent="0.25">
      <c r="D160" s="2" t="s">
        <v>106</v>
      </c>
      <c r="E160" s="2">
        <v>16.8</v>
      </c>
      <c r="F160" s="6">
        <f t="shared" si="18"/>
        <v>29.761904761904759</v>
      </c>
      <c r="G160" s="25">
        <f t="shared" si="19"/>
        <v>341.44059869036482</v>
      </c>
    </row>
    <row r="161" spans="4:7" x14ac:dyDescent="0.25">
      <c r="D161" s="2" t="s">
        <v>107</v>
      </c>
      <c r="E161" s="2">
        <v>17.8</v>
      </c>
      <c r="F161" s="6">
        <f t="shared" si="18"/>
        <v>28.089887640449437</v>
      </c>
      <c r="G161" s="25">
        <f t="shared" si="19"/>
        <v>361.76444385050559</v>
      </c>
    </row>
    <row r="162" spans="4:7" x14ac:dyDescent="0.25">
      <c r="D162" s="2" t="s">
        <v>108</v>
      </c>
      <c r="E162" s="2">
        <v>16.8</v>
      </c>
      <c r="F162" s="6">
        <f t="shared" si="18"/>
        <v>29.761904761904759</v>
      </c>
      <c r="G162" s="25">
        <f t="shared" si="19"/>
        <v>341.44059869036482</v>
      </c>
    </row>
    <row r="163" spans="4:7" x14ac:dyDescent="0.25">
      <c r="F163" s="9"/>
    </row>
    <row r="164" spans="4:7" x14ac:dyDescent="0.25">
      <c r="D164" s="45" t="s">
        <v>110</v>
      </c>
      <c r="E164" s="45"/>
      <c r="F164" s="45"/>
      <c r="G164" s="45"/>
    </row>
    <row r="165" spans="4:7" x14ac:dyDescent="0.25">
      <c r="D165" s="2" t="s">
        <v>111</v>
      </c>
      <c r="E165" s="2">
        <v>72</v>
      </c>
      <c r="F165" s="6">
        <f>N$5/E165</f>
        <v>6.9444444444444446</v>
      </c>
      <c r="G165" s="25">
        <f>N$15/F165</f>
        <v>1463.3168515301347</v>
      </c>
    </row>
    <row r="166" spans="4:7" x14ac:dyDescent="0.25">
      <c r="D166" s="26" t="s">
        <v>177</v>
      </c>
      <c r="E166" s="26">
        <v>21</v>
      </c>
      <c r="F166" s="6">
        <f>N$5/E166</f>
        <v>23.80952380952381</v>
      </c>
      <c r="G166" s="25">
        <f>N$15/F166</f>
        <v>426.80074836295597</v>
      </c>
    </row>
    <row r="167" spans="4:7" x14ac:dyDescent="0.25">
      <c r="G167" s="15"/>
    </row>
    <row r="168" spans="4:7" x14ac:dyDescent="0.25">
      <c r="D168" s="45" t="s">
        <v>136</v>
      </c>
      <c r="E168" s="45"/>
      <c r="F168" s="45"/>
      <c r="G168" s="45"/>
    </row>
    <row r="169" spans="4:7" x14ac:dyDescent="0.25">
      <c r="D169" s="5" t="s">
        <v>1</v>
      </c>
      <c r="E169" s="5" t="s">
        <v>2</v>
      </c>
      <c r="F169" s="5" t="s">
        <v>9</v>
      </c>
      <c r="G169" s="14" t="s">
        <v>10</v>
      </c>
    </row>
    <row r="170" spans="4:7" x14ac:dyDescent="0.25">
      <c r="D170" s="2" t="s">
        <v>137</v>
      </c>
      <c r="E170" s="2">
        <v>101</v>
      </c>
      <c r="F170" s="6">
        <f t="shared" ref="F170:F180" si="20">N$5/E170</f>
        <v>4.9504950495049505</v>
      </c>
      <c r="G170" s="25">
        <f t="shared" ref="G170:G180" si="21">N$15/F170</f>
        <v>2052.7083611742169</v>
      </c>
    </row>
    <row r="171" spans="4:7" x14ac:dyDescent="0.25">
      <c r="D171" s="2" t="s">
        <v>140</v>
      </c>
      <c r="E171" s="2">
        <v>101</v>
      </c>
      <c r="F171" s="6">
        <f t="shared" si="20"/>
        <v>4.9504950495049505</v>
      </c>
      <c r="G171" s="25">
        <f t="shared" si="21"/>
        <v>2052.7083611742169</v>
      </c>
    </row>
    <row r="172" spans="4:7" x14ac:dyDescent="0.25">
      <c r="D172" s="2" t="s">
        <v>143</v>
      </c>
      <c r="E172" s="2">
        <v>101</v>
      </c>
      <c r="F172" s="6">
        <f t="shared" si="20"/>
        <v>4.9504950495049505</v>
      </c>
      <c r="G172" s="25">
        <f t="shared" si="21"/>
        <v>2052.7083611742169</v>
      </c>
    </row>
    <row r="173" spans="4:7" x14ac:dyDescent="0.25">
      <c r="D173" s="2" t="s">
        <v>146</v>
      </c>
      <c r="E173" s="2">
        <v>101</v>
      </c>
      <c r="F173" s="6">
        <f t="shared" si="20"/>
        <v>4.9504950495049505</v>
      </c>
      <c r="G173" s="25">
        <f t="shared" si="21"/>
        <v>2052.7083611742169</v>
      </c>
    </row>
    <row r="174" spans="4:7" x14ac:dyDescent="0.25">
      <c r="D174" s="2" t="s">
        <v>147</v>
      </c>
      <c r="E174" s="2">
        <v>101</v>
      </c>
      <c r="F174" s="6">
        <f t="shared" si="20"/>
        <v>4.9504950495049505</v>
      </c>
      <c r="G174" s="25">
        <f t="shared" si="21"/>
        <v>2052.7083611742169</v>
      </c>
    </row>
    <row r="175" spans="4:7" x14ac:dyDescent="0.25">
      <c r="D175" s="2" t="s">
        <v>139</v>
      </c>
      <c r="E175" s="2">
        <v>84</v>
      </c>
      <c r="F175" s="6">
        <f t="shared" si="20"/>
        <v>5.9523809523809526</v>
      </c>
      <c r="G175" s="25">
        <f t="shared" si="21"/>
        <v>1707.2029934518239</v>
      </c>
    </row>
    <row r="176" spans="4:7" x14ac:dyDescent="0.25">
      <c r="D176" s="2" t="s">
        <v>138</v>
      </c>
      <c r="E176" s="2">
        <v>16</v>
      </c>
      <c r="F176" s="6">
        <f t="shared" si="20"/>
        <v>31.25</v>
      </c>
      <c r="G176" s="25">
        <f t="shared" si="21"/>
        <v>325.18152256225216</v>
      </c>
    </row>
    <row r="177" spans="4:7" x14ac:dyDescent="0.25">
      <c r="D177" s="2" t="s">
        <v>141</v>
      </c>
      <c r="E177" s="2">
        <v>16</v>
      </c>
      <c r="F177" s="6">
        <f t="shared" si="20"/>
        <v>31.25</v>
      </c>
      <c r="G177" s="25">
        <f t="shared" si="21"/>
        <v>325.18152256225216</v>
      </c>
    </row>
    <row r="178" spans="4:7" x14ac:dyDescent="0.25">
      <c r="D178" s="2" t="s">
        <v>142</v>
      </c>
      <c r="E178" s="2">
        <v>16</v>
      </c>
      <c r="F178" s="6">
        <f t="shared" si="20"/>
        <v>31.25</v>
      </c>
      <c r="G178" s="25">
        <f t="shared" si="21"/>
        <v>325.18152256225216</v>
      </c>
    </row>
    <row r="179" spans="4:7" x14ac:dyDescent="0.25">
      <c r="D179" s="2" t="s">
        <v>144</v>
      </c>
      <c r="E179" s="2">
        <v>16</v>
      </c>
      <c r="F179" s="6">
        <f t="shared" si="20"/>
        <v>31.25</v>
      </c>
      <c r="G179" s="25">
        <f t="shared" si="21"/>
        <v>325.18152256225216</v>
      </c>
    </row>
    <row r="180" spans="4:7" x14ac:dyDescent="0.25">
      <c r="D180" s="2" t="s">
        <v>145</v>
      </c>
      <c r="E180" s="2">
        <v>16</v>
      </c>
      <c r="F180" s="6">
        <f t="shared" si="20"/>
        <v>31.25</v>
      </c>
      <c r="G180" s="25">
        <f t="shared" si="21"/>
        <v>325.18152256225216</v>
      </c>
    </row>
    <row r="181" spans="4:7" x14ac:dyDescent="0.25">
      <c r="G181" s="1"/>
    </row>
    <row r="182" spans="4:7" x14ac:dyDescent="0.25">
      <c r="D182" s="45" t="s">
        <v>148</v>
      </c>
      <c r="E182" s="45"/>
      <c r="F182" s="45"/>
      <c r="G182" s="45"/>
    </row>
    <row r="183" spans="4:7" x14ac:dyDescent="0.25">
      <c r="D183" s="5" t="s">
        <v>1</v>
      </c>
      <c r="E183" s="5" t="s">
        <v>2</v>
      </c>
      <c r="F183" s="5" t="s">
        <v>9</v>
      </c>
      <c r="G183" s="14" t="s">
        <v>10</v>
      </c>
    </row>
    <row r="184" spans="4:7" x14ac:dyDescent="0.25">
      <c r="D184" s="2" t="s">
        <v>156</v>
      </c>
      <c r="E184" s="2">
        <v>34</v>
      </c>
      <c r="F184" s="6">
        <f t="shared" ref="F184:F196" si="22">N$5/E184</f>
        <v>14.705882352941176</v>
      </c>
      <c r="G184" s="25">
        <f t="shared" ref="G184:G196" si="23">N$15/F184</f>
        <v>691.01073544478595</v>
      </c>
    </row>
    <row r="185" spans="4:7" x14ac:dyDescent="0.25">
      <c r="D185" s="2" t="s">
        <v>157</v>
      </c>
      <c r="E185" s="2">
        <v>33</v>
      </c>
      <c r="F185" s="6">
        <f t="shared" si="22"/>
        <v>15.151515151515152</v>
      </c>
      <c r="G185" s="25">
        <f t="shared" si="23"/>
        <v>670.68689028464507</v>
      </c>
    </row>
    <row r="186" spans="4:7" x14ac:dyDescent="0.25">
      <c r="D186" s="2" t="s">
        <v>151</v>
      </c>
      <c r="E186" s="2">
        <v>33</v>
      </c>
      <c r="F186" s="6">
        <f t="shared" si="22"/>
        <v>15.151515151515152</v>
      </c>
      <c r="G186" s="25">
        <f t="shared" si="23"/>
        <v>670.68689028464507</v>
      </c>
    </row>
    <row r="187" spans="4:7" x14ac:dyDescent="0.25">
      <c r="D187" s="2" t="s">
        <v>158</v>
      </c>
      <c r="E187" s="2">
        <v>33</v>
      </c>
      <c r="F187" s="6">
        <f t="shared" si="22"/>
        <v>15.151515151515152</v>
      </c>
      <c r="G187" s="25">
        <f t="shared" si="23"/>
        <v>670.68689028464507</v>
      </c>
    </row>
    <row r="188" spans="4:7" x14ac:dyDescent="0.25">
      <c r="D188" s="2" t="s">
        <v>153</v>
      </c>
      <c r="E188" s="2">
        <v>33</v>
      </c>
      <c r="F188" s="6">
        <f t="shared" si="22"/>
        <v>15.151515151515152</v>
      </c>
      <c r="G188" s="25">
        <f t="shared" si="23"/>
        <v>670.68689028464507</v>
      </c>
    </row>
    <row r="189" spans="4:7" x14ac:dyDescent="0.25">
      <c r="D189" s="2" t="s">
        <v>160</v>
      </c>
      <c r="E189" s="2">
        <v>33</v>
      </c>
      <c r="F189" s="6">
        <f t="shared" si="22"/>
        <v>15.151515151515152</v>
      </c>
      <c r="G189" s="25">
        <f t="shared" si="23"/>
        <v>670.68689028464507</v>
      </c>
    </row>
    <row r="190" spans="4:7" x14ac:dyDescent="0.25">
      <c r="D190" s="2" t="s">
        <v>161</v>
      </c>
      <c r="E190" s="2">
        <v>29</v>
      </c>
      <c r="F190" s="6">
        <f t="shared" si="22"/>
        <v>17.241379310344829</v>
      </c>
      <c r="G190" s="25">
        <f t="shared" si="23"/>
        <v>589.39150964408202</v>
      </c>
    </row>
    <row r="191" spans="4:7" x14ac:dyDescent="0.25">
      <c r="D191" s="2" t="s">
        <v>149</v>
      </c>
      <c r="E191" s="2">
        <v>5</v>
      </c>
      <c r="F191" s="6">
        <f t="shared" si="22"/>
        <v>100</v>
      </c>
      <c r="G191" s="25">
        <f t="shared" si="23"/>
        <v>101.6192258007038</v>
      </c>
    </row>
    <row r="192" spans="4:7" x14ac:dyDescent="0.25">
      <c r="D192" s="2" t="s">
        <v>150</v>
      </c>
      <c r="E192" s="2">
        <v>5</v>
      </c>
      <c r="F192" s="6">
        <f t="shared" si="22"/>
        <v>100</v>
      </c>
      <c r="G192" s="25">
        <f t="shared" si="23"/>
        <v>101.6192258007038</v>
      </c>
    </row>
    <row r="193" spans="4:7" x14ac:dyDescent="0.25">
      <c r="D193" s="2" t="s">
        <v>152</v>
      </c>
      <c r="E193" s="2">
        <v>5</v>
      </c>
      <c r="F193" s="6">
        <f t="shared" si="22"/>
        <v>100</v>
      </c>
      <c r="G193" s="25">
        <f t="shared" si="23"/>
        <v>101.6192258007038</v>
      </c>
    </row>
    <row r="194" spans="4:7" x14ac:dyDescent="0.25">
      <c r="D194" s="2" t="s">
        <v>159</v>
      </c>
      <c r="E194" s="2">
        <v>5</v>
      </c>
      <c r="F194" s="6">
        <f t="shared" si="22"/>
        <v>100</v>
      </c>
      <c r="G194" s="25">
        <f t="shared" si="23"/>
        <v>101.6192258007038</v>
      </c>
    </row>
    <row r="195" spans="4:7" x14ac:dyDescent="0.25">
      <c r="D195" s="2" t="s">
        <v>154</v>
      </c>
      <c r="E195" s="2">
        <v>5</v>
      </c>
      <c r="F195" s="6">
        <f t="shared" si="22"/>
        <v>100</v>
      </c>
      <c r="G195" s="25">
        <f t="shared" si="23"/>
        <v>101.6192258007038</v>
      </c>
    </row>
    <row r="196" spans="4:7" x14ac:dyDescent="0.25">
      <c r="D196" s="2" t="s">
        <v>155</v>
      </c>
      <c r="E196" s="2">
        <v>5</v>
      </c>
      <c r="F196" s="6">
        <f t="shared" si="22"/>
        <v>100</v>
      </c>
      <c r="G196" s="25">
        <f t="shared" si="23"/>
        <v>101.6192258007038</v>
      </c>
    </row>
    <row r="197" spans="4:7" x14ac:dyDescent="0.25">
      <c r="G197" s="1"/>
    </row>
    <row r="198" spans="4:7" x14ac:dyDescent="0.25">
      <c r="D198" s="45" t="s">
        <v>15</v>
      </c>
      <c r="E198" s="45"/>
      <c r="F198" s="45"/>
      <c r="G198" s="45"/>
    </row>
    <row r="199" spans="4:7" x14ac:dyDescent="0.25">
      <c r="D199" s="5" t="s">
        <v>1</v>
      </c>
      <c r="E199" s="5" t="s">
        <v>2</v>
      </c>
      <c r="F199" s="5" t="s">
        <v>9</v>
      </c>
      <c r="G199" s="14" t="s">
        <v>10</v>
      </c>
    </row>
    <row r="200" spans="4:7" x14ac:dyDescent="0.25">
      <c r="D200" s="2" t="s">
        <v>19</v>
      </c>
      <c r="E200" s="2">
        <v>45</v>
      </c>
      <c r="F200" s="6">
        <f>N$5/E200</f>
        <v>11.111111111111111</v>
      </c>
      <c r="G200" s="25">
        <f>N$15/F200</f>
        <v>914.57303220633435</v>
      </c>
    </row>
    <row r="201" spans="4:7" x14ac:dyDescent="0.25">
      <c r="D201" s="2" t="s">
        <v>16</v>
      </c>
      <c r="E201" s="2">
        <v>130</v>
      </c>
      <c r="F201" s="6">
        <f>N$5/E201</f>
        <v>3.8461538461538463</v>
      </c>
      <c r="G201" s="25">
        <f>N$15/F201</f>
        <v>2642.0998708182988</v>
      </c>
    </row>
    <row r="202" spans="4:7" x14ac:dyDescent="0.25">
      <c r="D202" s="2" t="s">
        <v>17</v>
      </c>
      <c r="E202" s="2">
        <v>405</v>
      </c>
      <c r="F202" s="6">
        <f>N$5/E202</f>
        <v>1.2345679012345678</v>
      </c>
      <c r="G202" s="25">
        <f>N$15/F202</f>
        <v>8231.1572898570084</v>
      </c>
    </row>
    <row r="203" spans="4:7" x14ac:dyDescent="0.25">
      <c r="D203" s="2" t="s">
        <v>18</v>
      </c>
      <c r="E203" s="2">
        <v>500</v>
      </c>
      <c r="F203" s="6">
        <f>N$5/E203</f>
        <v>1</v>
      </c>
      <c r="G203" s="25">
        <f>N$15/F203</f>
        <v>10161.922580070381</v>
      </c>
    </row>
    <row r="204" spans="4:7" x14ac:dyDescent="0.25">
      <c r="F204" s="9"/>
    </row>
    <row r="205" spans="4:7" x14ac:dyDescent="0.25">
      <c r="D205" s="45" t="s">
        <v>175</v>
      </c>
      <c r="E205" s="45"/>
      <c r="F205" s="45"/>
      <c r="G205" s="45"/>
    </row>
  </sheetData>
  <mergeCells count="23">
    <mergeCell ref="D205:G205"/>
    <mergeCell ref="D151:G151"/>
    <mergeCell ref="D155:G155"/>
    <mergeCell ref="D164:G164"/>
    <mergeCell ref="D168:G168"/>
    <mergeCell ref="D182:G182"/>
    <mergeCell ref="D198:G198"/>
    <mergeCell ref="D135:G135"/>
    <mergeCell ref="D4:G4"/>
    <mergeCell ref="O8:O11"/>
    <mergeCell ref="D11:G11"/>
    <mergeCell ref="D19:G19"/>
    <mergeCell ref="D27:G27"/>
    <mergeCell ref="D36:G36"/>
    <mergeCell ref="D44:G44"/>
    <mergeCell ref="D52:G52"/>
    <mergeCell ref="D61:G61"/>
    <mergeCell ref="D71:G71"/>
    <mergeCell ref="D80:G80"/>
    <mergeCell ref="D82:G82"/>
    <mergeCell ref="D95:G95"/>
    <mergeCell ref="D108:G108"/>
    <mergeCell ref="D121:G1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84217-8646-4DE6-97B6-346A64C17060}">
  <dimension ref="B2:AO205"/>
  <sheetViews>
    <sheetView workbookViewId="0">
      <selection activeCell="F6" sqref="F6"/>
    </sheetView>
  </sheetViews>
  <sheetFormatPr baseColWidth="10" defaultRowHeight="15" x14ac:dyDescent="0.25"/>
  <cols>
    <col min="1" max="1" width="11.42578125" style="1"/>
    <col min="2" max="2" width="17.42578125" style="1" bestFit="1" customWidth="1"/>
    <col min="3" max="3" width="11.42578125" style="1"/>
    <col min="4" max="4" width="30.85546875" style="1" bestFit="1" customWidth="1"/>
    <col min="5" max="5" width="9.140625" style="1" customWidth="1"/>
    <col min="6" max="6" width="12.5703125" style="1" bestFit="1" customWidth="1"/>
    <col min="7" max="7" width="13.7109375" style="13" bestFit="1" customWidth="1"/>
    <col min="8" max="8" width="19.7109375" style="1" bestFit="1" customWidth="1"/>
    <col min="9" max="9" width="4.5703125" style="1" bestFit="1" customWidth="1"/>
    <col min="10" max="10" width="15.5703125" style="1" bestFit="1" customWidth="1"/>
    <col min="11" max="11" width="6.5703125" style="1" bestFit="1" customWidth="1"/>
    <col min="12" max="12" width="12.5703125" style="1" customWidth="1"/>
    <col min="13" max="13" width="25.85546875" style="1" bestFit="1" customWidth="1"/>
    <col min="14" max="14" width="14.5703125" style="1" bestFit="1" customWidth="1"/>
    <col min="15" max="15" width="22.85546875" style="1" bestFit="1" customWidth="1"/>
    <col min="16" max="16" width="4.28515625" style="1" bestFit="1" customWidth="1"/>
    <col min="17" max="17" width="12.7109375" style="1" bestFit="1" customWidth="1"/>
    <col min="18" max="18" width="12.5703125" style="33" bestFit="1" customWidth="1"/>
    <col min="19" max="41" width="11.42578125" style="33"/>
    <col min="42" max="16384" width="11.42578125" style="1"/>
  </cols>
  <sheetData>
    <row r="2" spans="2:16" ht="21" x14ac:dyDescent="0.25">
      <c r="B2" s="3" t="s">
        <v>0</v>
      </c>
    </row>
    <row r="3" spans="2:16" x14ac:dyDescent="0.25">
      <c r="L3" s="21"/>
      <c r="M3" s="21"/>
      <c r="N3" s="21"/>
      <c r="O3" s="21"/>
      <c r="P3" s="21"/>
    </row>
    <row r="4" spans="2:16" x14ac:dyDescent="0.25">
      <c r="D4" s="45" t="s">
        <v>36</v>
      </c>
      <c r="E4" s="45"/>
      <c r="F4" s="45"/>
      <c r="G4" s="45"/>
      <c r="L4" s="21"/>
      <c r="M4" s="4" t="s">
        <v>181</v>
      </c>
      <c r="N4" s="32">
        <v>179592</v>
      </c>
      <c r="O4" s="21"/>
      <c r="P4" s="21"/>
    </row>
    <row r="5" spans="2:16" x14ac:dyDescent="0.25">
      <c r="D5" s="5" t="s">
        <v>1</v>
      </c>
      <c r="E5" s="5" t="s">
        <v>2</v>
      </c>
      <c r="F5" s="5" t="s">
        <v>9</v>
      </c>
      <c r="G5" s="14" t="s">
        <v>10</v>
      </c>
      <c r="L5" s="21"/>
      <c r="M5" s="4" t="s">
        <v>185</v>
      </c>
      <c r="N5" s="4">
        <v>500</v>
      </c>
      <c r="O5" s="21"/>
      <c r="P5" s="21"/>
    </row>
    <row r="6" spans="2:16" x14ac:dyDescent="0.25">
      <c r="D6" s="2" t="s">
        <v>37</v>
      </c>
      <c r="E6" s="2">
        <v>11</v>
      </c>
      <c r="F6" s="6">
        <f>N$5/E6</f>
        <v>45.454545454545453</v>
      </c>
      <c r="G6" s="25">
        <f>N$15/F6</f>
        <v>243.68290347008775</v>
      </c>
      <c r="L6" s="21"/>
      <c r="M6" s="4" t="s">
        <v>186</v>
      </c>
      <c r="N6" s="4">
        <v>359.18400000000003</v>
      </c>
      <c r="O6" s="21"/>
      <c r="P6" s="21"/>
    </row>
    <row r="7" spans="2:16" x14ac:dyDescent="0.25">
      <c r="D7" s="2" t="s">
        <v>38</v>
      </c>
      <c r="E7" s="2">
        <v>11</v>
      </c>
      <c r="F7" s="6">
        <f>N$5/E7</f>
        <v>45.454545454545453</v>
      </c>
      <c r="G7" s="25">
        <f>N$15/F7</f>
        <v>243.68290347008775</v>
      </c>
      <c r="L7" s="21"/>
      <c r="M7" s="21"/>
      <c r="N7" s="21"/>
      <c r="O7" s="21"/>
      <c r="P7" s="21"/>
    </row>
    <row r="8" spans="2:16" x14ac:dyDescent="0.25">
      <c r="D8" s="2" t="s">
        <v>39</v>
      </c>
      <c r="E8" s="2">
        <v>10</v>
      </c>
      <c r="F8" s="6">
        <f>N$5/E8</f>
        <v>50</v>
      </c>
      <c r="G8" s="25">
        <f>N$15/F8</f>
        <v>221.52991224553432</v>
      </c>
      <c r="L8" s="21"/>
      <c r="M8" s="4" t="s">
        <v>75</v>
      </c>
      <c r="N8" s="4" t="s">
        <v>76</v>
      </c>
      <c r="O8" s="36" t="s">
        <v>178</v>
      </c>
      <c r="P8" s="21"/>
    </row>
    <row r="9" spans="2:16" x14ac:dyDescent="0.25">
      <c r="D9" s="2" t="s">
        <v>40</v>
      </c>
      <c r="E9" s="2">
        <v>13</v>
      </c>
      <c r="F9" s="6">
        <f>N$5/E9</f>
        <v>38.46153846153846</v>
      </c>
      <c r="G9" s="25">
        <f>N$15/F9</f>
        <v>287.98888591919462</v>
      </c>
      <c r="L9" s="21"/>
      <c r="M9" s="5" t="s">
        <v>74</v>
      </c>
      <c r="N9" s="31">
        <v>5800000</v>
      </c>
      <c r="O9" s="37"/>
      <c r="P9" s="21"/>
    </row>
    <row r="10" spans="2:16" x14ac:dyDescent="0.25">
      <c r="L10" s="21"/>
      <c r="M10" s="5" t="s">
        <v>182</v>
      </c>
      <c r="N10" s="34">
        <v>350000</v>
      </c>
      <c r="O10" s="37"/>
      <c r="P10" s="21"/>
    </row>
    <row r="11" spans="2:16" x14ac:dyDescent="0.25">
      <c r="D11" s="45" t="s">
        <v>52</v>
      </c>
      <c r="E11" s="45"/>
      <c r="F11" s="45"/>
      <c r="G11" s="45"/>
      <c r="L11" s="21"/>
      <c r="M11" s="4" t="s">
        <v>162</v>
      </c>
      <c r="N11" s="7">
        <f>N9-N10</f>
        <v>5450000</v>
      </c>
      <c r="O11" s="38"/>
      <c r="P11" s="21"/>
    </row>
    <row r="12" spans="2:16" x14ac:dyDescent="0.25">
      <c r="D12" s="5" t="s">
        <v>1</v>
      </c>
      <c r="E12" s="5" t="s">
        <v>2</v>
      </c>
      <c r="F12" s="5" t="s">
        <v>9</v>
      </c>
      <c r="G12" s="14" t="s">
        <v>10</v>
      </c>
      <c r="L12" s="21"/>
      <c r="M12" s="21"/>
      <c r="N12" s="21"/>
      <c r="O12" s="21"/>
      <c r="P12" s="21"/>
    </row>
    <row r="13" spans="2:16" x14ac:dyDescent="0.25">
      <c r="D13" s="2" t="s">
        <v>47</v>
      </c>
      <c r="E13" s="2">
        <v>19</v>
      </c>
      <c r="F13" s="6">
        <f>N$5/E13</f>
        <v>26.315789473684209</v>
      </c>
      <c r="G13" s="25">
        <f>N$15/F13</f>
        <v>420.90683326651526</v>
      </c>
      <c r="L13" s="21"/>
      <c r="M13" s="5" t="s">
        <v>184</v>
      </c>
      <c r="N13" s="35">
        <v>0.27</v>
      </c>
      <c r="O13" s="21"/>
      <c r="P13" s="21"/>
    </row>
    <row r="14" spans="2:16" x14ac:dyDescent="0.25">
      <c r="D14" s="2" t="s">
        <v>48</v>
      </c>
      <c r="E14" s="2">
        <v>16</v>
      </c>
      <c r="F14" s="6">
        <f>N$5/E14</f>
        <v>31.25</v>
      </c>
      <c r="G14" s="25">
        <f>N$15/F14</f>
        <v>354.44785959285491</v>
      </c>
      <c r="L14" s="21"/>
      <c r="M14" s="4" t="s">
        <v>183</v>
      </c>
      <c r="N14" s="8">
        <f>N11-(N11*N13)</f>
        <v>3978500</v>
      </c>
      <c r="O14" s="20" t="s">
        <v>179</v>
      </c>
      <c r="P14" s="21"/>
    </row>
    <row r="15" spans="2:16" x14ac:dyDescent="0.25">
      <c r="D15" s="2" t="s">
        <v>49</v>
      </c>
      <c r="E15" s="2">
        <v>20</v>
      </c>
      <c r="F15" s="6">
        <f>N$5/E15</f>
        <v>25</v>
      </c>
      <c r="G15" s="25">
        <f>N$15/F15</f>
        <v>443.05982449106864</v>
      </c>
      <c r="L15" s="21"/>
      <c r="M15" s="4" t="s">
        <v>85</v>
      </c>
      <c r="N15" s="12">
        <f>N14/N6</f>
        <v>11076.495612276716</v>
      </c>
      <c r="O15" s="20" t="s">
        <v>180</v>
      </c>
      <c r="P15" s="21"/>
    </row>
    <row r="16" spans="2:16" x14ac:dyDescent="0.25">
      <c r="D16" s="2" t="s">
        <v>50</v>
      </c>
      <c r="E16" s="2">
        <v>18</v>
      </c>
      <c r="F16" s="6">
        <f>N$5/E16</f>
        <v>27.777777777777779</v>
      </c>
      <c r="G16" s="25">
        <f>N$15/F16</f>
        <v>398.75384204196178</v>
      </c>
      <c r="L16" s="21"/>
      <c r="M16" s="21"/>
      <c r="N16" s="21"/>
      <c r="O16" s="21"/>
      <c r="P16" s="21"/>
    </row>
    <row r="17" spans="4:7" x14ac:dyDescent="0.25">
      <c r="D17" s="2" t="s">
        <v>51</v>
      </c>
      <c r="E17" s="2">
        <v>19</v>
      </c>
      <c r="F17" s="6">
        <f>N$5/E17</f>
        <v>26.315789473684209</v>
      </c>
      <c r="G17" s="25">
        <f>N$15/F17</f>
        <v>420.90683326651526</v>
      </c>
    </row>
    <row r="19" spans="4:7" x14ac:dyDescent="0.25">
      <c r="D19" s="45" t="s">
        <v>41</v>
      </c>
      <c r="E19" s="45"/>
      <c r="F19" s="45"/>
      <c r="G19" s="45"/>
    </row>
    <row r="20" spans="4:7" x14ac:dyDescent="0.25">
      <c r="D20" s="5" t="s">
        <v>1</v>
      </c>
      <c r="E20" s="5" t="s">
        <v>2</v>
      </c>
      <c r="F20" s="5" t="s">
        <v>9</v>
      </c>
      <c r="G20" s="14" t="s">
        <v>10</v>
      </c>
    </row>
    <row r="21" spans="4:7" x14ac:dyDescent="0.25">
      <c r="D21" s="2" t="s">
        <v>42</v>
      </c>
      <c r="E21" s="2">
        <v>19</v>
      </c>
      <c r="F21" s="6">
        <f>N$5/E21</f>
        <v>26.315789473684209</v>
      </c>
      <c r="G21" s="25">
        <f>N$15/F21</f>
        <v>420.90683326651526</v>
      </c>
    </row>
    <row r="22" spans="4:7" x14ac:dyDescent="0.25">
      <c r="D22" s="2" t="s">
        <v>43</v>
      </c>
      <c r="E22" s="2">
        <v>17</v>
      </c>
      <c r="F22" s="6">
        <f>N$5/E22</f>
        <v>29.411764705882351</v>
      </c>
      <c r="G22" s="25">
        <f>N$15/F22</f>
        <v>376.60085081740834</v>
      </c>
    </row>
    <row r="23" spans="4:7" x14ac:dyDescent="0.25">
      <c r="D23" s="2" t="s">
        <v>44</v>
      </c>
      <c r="E23" s="2">
        <v>17</v>
      </c>
      <c r="F23" s="6">
        <f>N$5/E23</f>
        <v>29.411764705882351</v>
      </c>
      <c r="G23" s="25">
        <f>N$15/F23</f>
        <v>376.60085081740834</v>
      </c>
    </row>
    <row r="24" spans="4:7" x14ac:dyDescent="0.25">
      <c r="D24" s="2" t="s">
        <v>45</v>
      </c>
      <c r="E24" s="2">
        <v>16</v>
      </c>
      <c r="F24" s="6">
        <f>N$5/E24</f>
        <v>31.25</v>
      </c>
      <c r="G24" s="25">
        <f>N$15/F24</f>
        <v>354.44785959285491</v>
      </c>
    </row>
    <row r="25" spans="4:7" x14ac:dyDescent="0.25">
      <c r="D25" s="2" t="s">
        <v>46</v>
      </c>
      <c r="E25" s="2">
        <v>20</v>
      </c>
      <c r="F25" s="6">
        <f>N$5/E25</f>
        <v>25</v>
      </c>
      <c r="G25" s="25">
        <f>N$15/F25</f>
        <v>443.05982449106864</v>
      </c>
    </row>
    <row r="27" spans="4:7" x14ac:dyDescent="0.25">
      <c r="D27" s="45" t="s">
        <v>53</v>
      </c>
      <c r="E27" s="45"/>
      <c r="F27" s="45"/>
      <c r="G27" s="45"/>
    </row>
    <row r="28" spans="4:7" x14ac:dyDescent="0.25">
      <c r="D28" s="5" t="s">
        <v>1</v>
      </c>
      <c r="E28" s="5" t="s">
        <v>2</v>
      </c>
      <c r="F28" s="5" t="s">
        <v>9</v>
      </c>
      <c r="G28" s="14" t="s">
        <v>10</v>
      </c>
    </row>
    <row r="29" spans="4:7" x14ac:dyDescent="0.25">
      <c r="D29" s="2" t="s">
        <v>55</v>
      </c>
      <c r="E29" s="2">
        <v>28</v>
      </c>
      <c r="F29" s="6">
        <f t="shared" ref="F29:F34" si="0">N$5/E29</f>
        <v>17.857142857142858</v>
      </c>
      <c r="G29" s="25">
        <f t="shared" ref="G29:G34" si="1">N$15/F29</f>
        <v>620.28375428749609</v>
      </c>
    </row>
    <row r="30" spans="4:7" x14ac:dyDescent="0.25">
      <c r="D30" s="2" t="s">
        <v>56</v>
      </c>
      <c r="E30" s="2">
        <v>33</v>
      </c>
      <c r="F30" s="6">
        <f t="shared" si="0"/>
        <v>15.151515151515152</v>
      </c>
      <c r="G30" s="25">
        <f t="shared" si="1"/>
        <v>731.0487104102632</v>
      </c>
    </row>
    <row r="31" spans="4:7" x14ac:dyDescent="0.25">
      <c r="D31" s="2" t="s">
        <v>57</v>
      </c>
      <c r="E31" s="2">
        <v>24</v>
      </c>
      <c r="F31" s="6">
        <f t="shared" si="0"/>
        <v>20.833333333333332</v>
      </c>
      <c r="G31" s="25">
        <f t="shared" si="1"/>
        <v>531.67178938928237</v>
      </c>
    </row>
    <row r="32" spans="4:7" x14ac:dyDescent="0.25">
      <c r="D32" s="2" t="s">
        <v>58</v>
      </c>
      <c r="E32" s="2">
        <v>24</v>
      </c>
      <c r="F32" s="6">
        <f t="shared" si="0"/>
        <v>20.833333333333332</v>
      </c>
      <c r="G32" s="25">
        <f t="shared" si="1"/>
        <v>531.67178938928237</v>
      </c>
    </row>
    <row r="33" spans="4:7" x14ac:dyDescent="0.25">
      <c r="D33" s="2" t="s">
        <v>60</v>
      </c>
      <c r="E33" s="2">
        <v>24</v>
      </c>
      <c r="F33" s="6">
        <f t="shared" si="0"/>
        <v>20.833333333333332</v>
      </c>
      <c r="G33" s="25">
        <f t="shared" si="1"/>
        <v>531.67178938928237</v>
      </c>
    </row>
    <row r="34" spans="4:7" x14ac:dyDescent="0.25">
      <c r="D34" s="2" t="s">
        <v>59</v>
      </c>
      <c r="E34" s="2">
        <v>24</v>
      </c>
      <c r="F34" s="6">
        <f t="shared" si="0"/>
        <v>20.833333333333332</v>
      </c>
      <c r="G34" s="25">
        <f t="shared" si="1"/>
        <v>531.67178938928237</v>
      </c>
    </row>
    <row r="36" spans="4:7" x14ac:dyDescent="0.25">
      <c r="D36" s="45" t="s">
        <v>54</v>
      </c>
      <c r="E36" s="45"/>
      <c r="F36" s="45"/>
      <c r="G36" s="45"/>
    </row>
    <row r="37" spans="4:7" x14ac:dyDescent="0.25">
      <c r="D37" s="5" t="s">
        <v>1</v>
      </c>
      <c r="E37" s="5" t="s">
        <v>2</v>
      </c>
      <c r="F37" s="5" t="s">
        <v>9</v>
      </c>
      <c r="G37" s="14" t="s">
        <v>10</v>
      </c>
    </row>
    <row r="38" spans="4:7" x14ac:dyDescent="0.25">
      <c r="D38" s="2" t="s">
        <v>61</v>
      </c>
      <c r="E38" s="2">
        <v>31</v>
      </c>
      <c r="F38" s="6">
        <f>N$5/E38</f>
        <v>16.129032258064516</v>
      </c>
      <c r="G38" s="25">
        <f>N$15/F38</f>
        <v>686.74272796115645</v>
      </c>
    </row>
    <row r="39" spans="4:7" x14ac:dyDescent="0.25">
      <c r="D39" s="2" t="s">
        <v>62</v>
      </c>
      <c r="E39" s="2">
        <v>34</v>
      </c>
      <c r="F39" s="6">
        <f>N$5/E39</f>
        <v>14.705882352941176</v>
      </c>
      <c r="G39" s="25">
        <f>N$15/F39</f>
        <v>753.20170163481669</v>
      </c>
    </row>
    <row r="40" spans="4:7" x14ac:dyDescent="0.25">
      <c r="D40" s="2" t="s">
        <v>63</v>
      </c>
      <c r="E40" s="2">
        <v>34</v>
      </c>
      <c r="F40" s="6">
        <f>N$5/E40</f>
        <v>14.705882352941176</v>
      </c>
      <c r="G40" s="25">
        <f>N$15/F40</f>
        <v>753.20170163481669</v>
      </c>
    </row>
    <row r="41" spans="4:7" x14ac:dyDescent="0.25">
      <c r="D41" s="2" t="s">
        <v>64</v>
      </c>
      <c r="E41" s="2">
        <v>36</v>
      </c>
      <c r="F41" s="6">
        <f>N$5/E41</f>
        <v>13.888888888888889</v>
      </c>
      <c r="G41" s="25">
        <f>N$15/F41</f>
        <v>797.50768408392355</v>
      </c>
    </row>
    <row r="42" spans="4:7" x14ac:dyDescent="0.25">
      <c r="D42" s="2" t="s">
        <v>65</v>
      </c>
      <c r="E42" s="2">
        <v>9</v>
      </c>
      <c r="F42" s="6">
        <f>N$5/E42</f>
        <v>55.555555555555557</v>
      </c>
      <c r="G42" s="25">
        <f>N$15/F42</f>
        <v>199.37692102098089</v>
      </c>
    </row>
    <row r="44" spans="4:7" x14ac:dyDescent="0.25">
      <c r="D44" s="45" t="s">
        <v>3</v>
      </c>
      <c r="E44" s="45"/>
      <c r="F44" s="45"/>
      <c r="G44" s="45"/>
    </row>
    <row r="45" spans="4:7" x14ac:dyDescent="0.25">
      <c r="D45" s="5" t="s">
        <v>1</v>
      </c>
      <c r="E45" s="5" t="s">
        <v>2</v>
      </c>
      <c r="F45" s="5" t="s">
        <v>9</v>
      </c>
      <c r="G45" s="14" t="s">
        <v>10</v>
      </c>
    </row>
    <row r="46" spans="4:7" x14ac:dyDescent="0.25">
      <c r="D46" s="2" t="s">
        <v>4</v>
      </c>
      <c r="E46" s="2">
        <v>40</v>
      </c>
      <c r="F46" s="2">
        <f>N$5/E46</f>
        <v>12.5</v>
      </c>
      <c r="G46" s="25">
        <f>N$15/F46</f>
        <v>886.11964898213728</v>
      </c>
    </row>
    <row r="47" spans="4:7" x14ac:dyDescent="0.25">
      <c r="D47" s="2" t="s">
        <v>5</v>
      </c>
      <c r="E47" s="2">
        <v>40</v>
      </c>
      <c r="F47" s="2">
        <f>N$5/E47</f>
        <v>12.5</v>
      </c>
      <c r="G47" s="25">
        <f>N$15/F47</f>
        <v>886.11964898213728</v>
      </c>
    </row>
    <row r="48" spans="4:7" x14ac:dyDescent="0.25">
      <c r="D48" s="2" t="s">
        <v>6</v>
      </c>
      <c r="E48" s="2">
        <v>40</v>
      </c>
      <c r="F48" s="2">
        <f>N$5/E48</f>
        <v>12.5</v>
      </c>
      <c r="G48" s="25">
        <f>N$15/F48</f>
        <v>886.11964898213728</v>
      </c>
    </row>
    <row r="49" spans="4:7" x14ac:dyDescent="0.25">
      <c r="D49" s="2" t="s">
        <v>7</v>
      </c>
      <c r="E49" s="2">
        <v>40</v>
      </c>
      <c r="F49" s="2">
        <f>N$5/E49</f>
        <v>12.5</v>
      </c>
      <c r="G49" s="25">
        <f>N$15/F49</f>
        <v>886.11964898213728</v>
      </c>
    </row>
    <row r="50" spans="4:7" x14ac:dyDescent="0.25">
      <c r="D50" s="2" t="s">
        <v>8</v>
      </c>
      <c r="E50" s="2">
        <v>40</v>
      </c>
      <c r="F50" s="2">
        <f>N$5/E50</f>
        <v>12.5</v>
      </c>
      <c r="G50" s="25">
        <f>N$15/F50</f>
        <v>886.11964898213728</v>
      </c>
    </row>
    <row r="52" spans="4:7" x14ac:dyDescent="0.25">
      <c r="D52" s="45" t="s">
        <v>11</v>
      </c>
      <c r="E52" s="45"/>
      <c r="F52" s="45"/>
      <c r="G52" s="45"/>
    </row>
    <row r="53" spans="4:7" x14ac:dyDescent="0.25">
      <c r="D53" s="5" t="s">
        <v>1</v>
      </c>
      <c r="E53" s="5" t="s">
        <v>2</v>
      </c>
      <c r="F53" s="5" t="s">
        <v>9</v>
      </c>
      <c r="G53" s="14" t="s">
        <v>10</v>
      </c>
    </row>
    <row r="54" spans="4:7" x14ac:dyDescent="0.25">
      <c r="D54" s="2" t="s">
        <v>176</v>
      </c>
      <c r="E54" s="2">
        <v>48</v>
      </c>
      <c r="F54" s="6">
        <f t="shared" ref="F54:F59" si="2">N$5/E54</f>
        <v>10.416666666666666</v>
      </c>
      <c r="G54" s="25">
        <f t="shared" ref="G54:G59" si="3">N$15/F54</f>
        <v>1063.3435787785647</v>
      </c>
    </row>
    <row r="55" spans="4:7" x14ac:dyDescent="0.25">
      <c r="D55" s="2" t="s">
        <v>12</v>
      </c>
      <c r="E55" s="2">
        <v>51</v>
      </c>
      <c r="F55" s="6">
        <f t="shared" si="2"/>
        <v>9.8039215686274517</v>
      </c>
      <c r="G55" s="25">
        <f t="shared" si="3"/>
        <v>1129.802552452225</v>
      </c>
    </row>
    <row r="56" spans="4:7" x14ac:dyDescent="0.25">
      <c r="D56" s="2" t="s">
        <v>13</v>
      </c>
      <c r="E56" s="2">
        <v>51</v>
      </c>
      <c r="F56" s="6">
        <f t="shared" si="2"/>
        <v>9.8039215686274517</v>
      </c>
      <c r="G56" s="25">
        <f t="shared" si="3"/>
        <v>1129.802552452225</v>
      </c>
    </row>
    <row r="57" spans="4:7" x14ac:dyDescent="0.25">
      <c r="D57" s="2" t="s">
        <v>14</v>
      </c>
      <c r="E57" s="2">
        <v>51</v>
      </c>
      <c r="F57" s="6">
        <f t="shared" si="2"/>
        <v>9.8039215686274517</v>
      </c>
      <c r="G57" s="25">
        <f t="shared" si="3"/>
        <v>1129.802552452225</v>
      </c>
    </row>
    <row r="58" spans="4:7" x14ac:dyDescent="0.25">
      <c r="D58" s="2" t="s">
        <v>20</v>
      </c>
      <c r="E58" s="2">
        <v>51</v>
      </c>
      <c r="F58" s="6">
        <f t="shared" si="2"/>
        <v>9.8039215686274517</v>
      </c>
      <c r="G58" s="25">
        <f t="shared" si="3"/>
        <v>1129.802552452225</v>
      </c>
    </row>
    <row r="59" spans="4:7" x14ac:dyDescent="0.25">
      <c r="D59" s="2" t="s">
        <v>21</v>
      </c>
      <c r="E59" s="2">
        <v>51</v>
      </c>
      <c r="F59" s="6">
        <f t="shared" si="2"/>
        <v>9.8039215686274517</v>
      </c>
      <c r="G59" s="25">
        <f t="shared" si="3"/>
        <v>1129.802552452225</v>
      </c>
    </row>
    <row r="61" spans="4:7" x14ac:dyDescent="0.25">
      <c r="D61" s="45" t="s">
        <v>22</v>
      </c>
      <c r="E61" s="45"/>
      <c r="F61" s="45"/>
      <c r="G61" s="45"/>
    </row>
    <row r="62" spans="4:7" x14ac:dyDescent="0.25">
      <c r="D62" s="5" t="s">
        <v>1</v>
      </c>
      <c r="E62" s="5" t="s">
        <v>2</v>
      </c>
      <c r="F62" s="5" t="s">
        <v>9</v>
      </c>
      <c r="G62" s="14" t="s">
        <v>10</v>
      </c>
    </row>
    <row r="63" spans="4:7" x14ac:dyDescent="0.25">
      <c r="D63" s="2" t="s">
        <v>174</v>
      </c>
      <c r="E63" s="2">
        <v>61</v>
      </c>
      <c r="F63" s="6">
        <f t="shared" ref="F63:F69" si="4">N$5/E63</f>
        <v>8.1967213114754092</v>
      </c>
      <c r="G63" s="25">
        <f t="shared" ref="G63:G69" si="5">N$15/F63</f>
        <v>1351.3324646977594</v>
      </c>
    </row>
    <row r="64" spans="4:7" x14ac:dyDescent="0.25">
      <c r="D64" s="2" t="s">
        <v>23</v>
      </c>
      <c r="E64" s="2">
        <v>67</v>
      </c>
      <c r="F64" s="6">
        <f t="shared" si="4"/>
        <v>7.4626865671641793</v>
      </c>
      <c r="G64" s="25">
        <f t="shared" si="5"/>
        <v>1484.2504120450799</v>
      </c>
    </row>
    <row r="65" spans="4:7" x14ac:dyDescent="0.25">
      <c r="D65" s="2" t="s">
        <v>24</v>
      </c>
      <c r="E65" s="2">
        <v>67</v>
      </c>
      <c r="F65" s="6">
        <f t="shared" si="4"/>
        <v>7.4626865671641793</v>
      </c>
      <c r="G65" s="25">
        <f t="shared" si="5"/>
        <v>1484.2504120450799</v>
      </c>
    </row>
    <row r="66" spans="4:7" x14ac:dyDescent="0.25">
      <c r="D66" s="2" t="s">
        <v>25</v>
      </c>
      <c r="E66" s="2">
        <v>67</v>
      </c>
      <c r="F66" s="6">
        <f t="shared" si="4"/>
        <v>7.4626865671641793</v>
      </c>
      <c r="G66" s="25">
        <f t="shared" si="5"/>
        <v>1484.2504120450799</v>
      </c>
    </row>
    <row r="67" spans="4:7" x14ac:dyDescent="0.25">
      <c r="D67" s="2" t="s">
        <v>26</v>
      </c>
      <c r="E67" s="2">
        <v>67</v>
      </c>
      <c r="F67" s="6">
        <f t="shared" si="4"/>
        <v>7.4626865671641793</v>
      </c>
      <c r="G67" s="25">
        <f t="shared" si="5"/>
        <v>1484.2504120450799</v>
      </c>
    </row>
    <row r="68" spans="4:7" x14ac:dyDescent="0.25">
      <c r="D68" s="2" t="s">
        <v>27</v>
      </c>
      <c r="E68" s="2">
        <v>67</v>
      </c>
      <c r="F68" s="6">
        <f t="shared" si="4"/>
        <v>7.4626865671641793</v>
      </c>
      <c r="G68" s="25">
        <f t="shared" si="5"/>
        <v>1484.2504120450799</v>
      </c>
    </row>
    <row r="69" spans="4:7" x14ac:dyDescent="0.25">
      <c r="D69" s="2" t="s">
        <v>28</v>
      </c>
      <c r="E69" s="2">
        <v>69</v>
      </c>
      <c r="F69" s="6">
        <f t="shared" si="4"/>
        <v>7.2463768115942031</v>
      </c>
      <c r="G69" s="25">
        <f t="shared" si="5"/>
        <v>1528.5563944941869</v>
      </c>
    </row>
    <row r="71" spans="4:7" x14ac:dyDescent="0.25">
      <c r="D71" s="45" t="s">
        <v>29</v>
      </c>
      <c r="E71" s="45"/>
      <c r="F71" s="45"/>
      <c r="G71" s="45"/>
    </row>
    <row r="72" spans="4:7" x14ac:dyDescent="0.25">
      <c r="D72" s="5" t="s">
        <v>1</v>
      </c>
      <c r="E72" s="5" t="s">
        <v>2</v>
      </c>
      <c r="F72" s="5" t="s">
        <v>9</v>
      </c>
      <c r="G72" s="14" t="s">
        <v>10</v>
      </c>
    </row>
    <row r="73" spans="4:7" x14ac:dyDescent="0.25">
      <c r="D73" s="2" t="s">
        <v>30</v>
      </c>
      <c r="E73" s="2">
        <v>75</v>
      </c>
      <c r="F73" s="6">
        <f t="shared" ref="F73:F78" si="6">N$5/E73</f>
        <v>6.666666666666667</v>
      </c>
      <c r="G73" s="25">
        <f t="shared" ref="G73:G78" si="7">N$15/F73</f>
        <v>1661.4743418415073</v>
      </c>
    </row>
    <row r="74" spans="4:7" x14ac:dyDescent="0.25">
      <c r="D74" s="2" t="s">
        <v>31</v>
      </c>
      <c r="E74" s="2">
        <v>75</v>
      </c>
      <c r="F74" s="6">
        <f t="shared" si="6"/>
        <v>6.666666666666667</v>
      </c>
      <c r="G74" s="25">
        <f t="shared" si="7"/>
        <v>1661.4743418415073</v>
      </c>
    </row>
    <row r="75" spans="4:7" x14ac:dyDescent="0.25">
      <c r="D75" s="2" t="s">
        <v>32</v>
      </c>
      <c r="E75" s="2">
        <v>75</v>
      </c>
      <c r="F75" s="6">
        <f t="shared" si="6"/>
        <v>6.666666666666667</v>
      </c>
      <c r="G75" s="25">
        <f t="shared" si="7"/>
        <v>1661.4743418415073</v>
      </c>
    </row>
    <row r="76" spans="4:7" x14ac:dyDescent="0.25">
      <c r="D76" s="2" t="s">
        <v>33</v>
      </c>
      <c r="E76" s="2">
        <v>75</v>
      </c>
      <c r="F76" s="6">
        <f t="shared" si="6"/>
        <v>6.666666666666667</v>
      </c>
      <c r="G76" s="25">
        <f t="shared" si="7"/>
        <v>1661.4743418415073</v>
      </c>
    </row>
    <row r="77" spans="4:7" x14ac:dyDescent="0.25">
      <c r="D77" s="2" t="s">
        <v>34</v>
      </c>
      <c r="E77" s="2">
        <v>75</v>
      </c>
      <c r="F77" s="6">
        <f t="shared" si="6"/>
        <v>6.666666666666667</v>
      </c>
      <c r="G77" s="25">
        <f t="shared" si="7"/>
        <v>1661.4743418415073</v>
      </c>
    </row>
    <row r="78" spans="4:7" x14ac:dyDescent="0.25">
      <c r="D78" s="2" t="s">
        <v>35</v>
      </c>
      <c r="E78" s="2">
        <v>75</v>
      </c>
      <c r="F78" s="6">
        <f t="shared" si="6"/>
        <v>6.666666666666667</v>
      </c>
      <c r="G78" s="25">
        <f t="shared" si="7"/>
        <v>1661.4743418415073</v>
      </c>
    </row>
    <row r="80" spans="4:7" x14ac:dyDescent="0.25">
      <c r="D80" s="45" t="s">
        <v>84</v>
      </c>
      <c r="E80" s="45"/>
      <c r="F80" s="45"/>
      <c r="G80" s="45"/>
    </row>
    <row r="81" spans="4:7" x14ac:dyDescent="0.25">
      <c r="D81" s="5" t="s">
        <v>1</v>
      </c>
      <c r="E81" s="5" t="s">
        <v>2</v>
      </c>
      <c r="F81" s="5" t="s">
        <v>9</v>
      </c>
      <c r="G81" s="14" t="s">
        <v>10</v>
      </c>
    </row>
    <row r="82" spans="4:7" x14ac:dyDescent="0.25">
      <c r="D82" s="39" t="s">
        <v>189</v>
      </c>
      <c r="E82" s="40"/>
      <c r="F82" s="40"/>
      <c r="G82" s="41"/>
    </row>
    <row r="83" spans="4:7" x14ac:dyDescent="0.25">
      <c r="D83" s="18" t="s">
        <v>125</v>
      </c>
      <c r="E83" s="18">
        <v>506</v>
      </c>
      <c r="F83" s="19">
        <f t="shared" ref="F83:F94" si="8">N$5/E83</f>
        <v>0.98814229249011853</v>
      </c>
      <c r="G83" s="28">
        <f t="shared" ref="G83:G94" si="9">N$15/F83</f>
        <v>11209.413559624038</v>
      </c>
    </row>
    <row r="84" spans="4:7" x14ac:dyDescent="0.25">
      <c r="D84" s="18" t="s">
        <v>126</v>
      </c>
      <c r="E84" s="18">
        <v>101</v>
      </c>
      <c r="F84" s="19">
        <f t="shared" si="8"/>
        <v>4.9504950495049505</v>
      </c>
      <c r="G84" s="28">
        <f t="shared" si="9"/>
        <v>2237.4521136798967</v>
      </c>
    </row>
    <row r="85" spans="4:7" x14ac:dyDescent="0.25">
      <c r="D85" s="18" t="s">
        <v>128</v>
      </c>
      <c r="E85" s="18">
        <v>101</v>
      </c>
      <c r="F85" s="19">
        <f t="shared" si="8"/>
        <v>4.9504950495049505</v>
      </c>
      <c r="G85" s="28">
        <f t="shared" si="9"/>
        <v>2237.4521136798967</v>
      </c>
    </row>
    <row r="86" spans="4:7" x14ac:dyDescent="0.25">
      <c r="D86" s="18" t="s">
        <v>130</v>
      </c>
      <c r="E86" s="18">
        <v>101</v>
      </c>
      <c r="F86" s="19">
        <f t="shared" si="8"/>
        <v>4.9504950495049505</v>
      </c>
      <c r="G86" s="28">
        <f t="shared" si="9"/>
        <v>2237.4521136798967</v>
      </c>
    </row>
    <row r="87" spans="4:7" x14ac:dyDescent="0.25">
      <c r="D87" s="18" t="s">
        <v>132</v>
      </c>
      <c r="E87" s="18">
        <v>101</v>
      </c>
      <c r="F87" s="19">
        <f t="shared" si="8"/>
        <v>4.9504950495049505</v>
      </c>
      <c r="G87" s="28">
        <f t="shared" si="9"/>
        <v>2237.4521136798967</v>
      </c>
    </row>
    <row r="88" spans="4:7" x14ac:dyDescent="0.25">
      <c r="D88" s="18" t="s">
        <v>134</v>
      </c>
      <c r="E88" s="18">
        <v>101</v>
      </c>
      <c r="F88" s="19">
        <f t="shared" si="8"/>
        <v>4.9504950495049505</v>
      </c>
      <c r="G88" s="28">
        <f t="shared" si="9"/>
        <v>2237.4521136798967</v>
      </c>
    </row>
    <row r="89" spans="4:7" x14ac:dyDescent="0.25">
      <c r="D89" s="18" t="s">
        <v>66</v>
      </c>
      <c r="E89" s="18">
        <v>84</v>
      </c>
      <c r="F89" s="19">
        <f t="shared" si="8"/>
        <v>5.9523809523809526</v>
      </c>
      <c r="G89" s="28">
        <f t="shared" si="9"/>
        <v>1860.8512628624883</v>
      </c>
    </row>
    <row r="90" spans="4:7" x14ac:dyDescent="0.25">
      <c r="D90" s="18" t="s">
        <v>127</v>
      </c>
      <c r="E90" s="18">
        <v>16</v>
      </c>
      <c r="F90" s="19">
        <f t="shared" si="8"/>
        <v>31.25</v>
      </c>
      <c r="G90" s="28">
        <f t="shared" si="9"/>
        <v>354.44785959285491</v>
      </c>
    </row>
    <row r="91" spans="4:7" x14ac:dyDescent="0.25">
      <c r="D91" s="18" t="s">
        <v>129</v>
      </c>
      <c r="E91" s="18">
        <v>16</v>
      </c>
      <c r="F91" s="19">
        <f t="shared" si="8"/>
        <v>31.25</v>
      </c>
      <c r="G91" s="28">
        <f t="shared" si="9"/>
        <v>354.44785959285491</v>
      </c>
    </row>
    <row r="92" spans="4:7" x14ac:dyDescent="0.25">
      <c r="D92" s="18" t="s">
        <v>131</v>
      </c>
      <c r="E92" s="18">
        <v>16</v>
      </c>
      <c r="F92" s="19">
        <f t="shared" si="8"/>
        <v>31.25</v>
      </c>
      <c r="G92" s="28">
        <f t="shared" si="9"/>
        <v>354.44785959285491</v>
      </c>
    </row>
    <row r="93" spans="4:7" x14ac:dyDescent="0.25">
      <c r="D93" s="18" t="s">
        <v>133</v>
      </c>
      <c r="E93" s="18">
        <v>16</v>
      </c>
      <c r="F93" s="19">
        <f t="shared" si="8"/>
        <v>31.25</v>
      </c>
      <c r="G93" s="28">
        <f t="shared" si="9"/>
        <v>354.44785959285491</v>
      </c>
    </row>
    <row r="94" spans="4:7" x14ac:dyDescent="0.25">
      <c r="D94" s="18" t="s">
        <v>135</v>
      </c>
      <c r="E94" s="18">
        <v>16</v>
      </c>
      <c r="F94" s="19">
        <f t="shared" si="8"/>
        <v>31.25</v>
      </c>
      <c r="G94" s="28">
        <f t="shared" si="9"/>
        <v>354.44785959285491</v>
      </c>
    </row>
    <row r="95" spans="4:7" x14ac:dyDescent="0.25">
      <c r="D95" s="42" t="s">
        <v>190</v>
      </c>
      <c r="E95" s="43"/>
      <c r="F95" s="43"/>
      <c r="G95" s="44"/>
    </row>
    <row r="96" spans="4:7" x14ac:dyDescent="0.25">
      <c r="D96" s="10" t="s">
        <v>124</v>
      </c>
      <c r="E96" s="10">
        <v>506</v>
      </c>
      <c r="F96" s="11">
        <f t="shared" ref="F96:F107" si="10">N$5/E96</f>
        <v>0.98814229249011853</v>
      </c>
      <c r="G96" s="29">
        <f t="shared" ref="G96:G107" si="11">N$15/F96</f>
        <v>11209.413559624038</v>
      </c>
    </row>
    <row r="97" spans="4:7" x14ac:dyDescent="0.25">
      <c r="D97" s="10" t="s">
        <v>99</v>
      </c>
      <c r="E97" s="10">
        <v>101</v>
      </c>
      <c r="F97" s="11">
        <f t="shared" si="10"/>
        <v>4.9504950495049505</v>
      </c>
      <c r="G97" s="29">
        <f t="shared" si="11"/>
        <v>2237.4521136798967</v>
      </c>
    </row>
    <row r="98" spans="4:7" x14ac:dyDescent="0.25">
      <c r="D98" s="10" t="s">
        <v>86</v>
      </c>
      <c r="E98" s="10">
        <v>101</v>
      </c>
      <c r="F98" s="11">
        <f t="shared" si="10"/>
        <v>4.9504950495049505</v>
      </c>
      <c r="G98" s="29">
        <f t="shared" si="11"/>
        <v>2237.4521136798967</v>
      </c>
    </row>
    <row r="99" spans="4:7" x14ac:dyDescent="0.25">
      <c r="D99" s="10" t="s">
        <v>94</v>
      </c>
      <c r="E99" s="10">
        <v>101</v>
      </c>
      <c r="F99" s="11">
        <f t="shared" si="10"/>
        <v>4.9504950495049505</v>
      </c>
      <c r="G99" s="29">
        <f t="shared" si="11"/>
        <v>2237.4521136798967</v>
      </c>
    </row>
    <row r="100" spans="4:7" x14ac:dyDescent="0.25">
      <c r="D100" s="10" t="s">
        <v>96</v>
      </c>
      <c r="E100" s="10">
        <v>101</v>
      </c>
      <c r="F100" s="11">
        <f t="shared" si="10"/>
        <v>4.9504950495049505</v>
      </c>
      <c r="G100" s="29">
        <f t="shared" si="11"/>
        <v>2237.4521136798967</v>
      </c>
    </row>
    <row r="101" spans="4:7" x14ac:dyDescent="0.25">
      <c r="D101" s="10" t="s">
        <v>87</v>
      </c>
      <c r="E101" s="10">
        <v>101</v>
      </c>
      <c r="F101" s="11">
        <f t="shared" si="10"/>
        <v>4.9504950495049505</v>
      </c>
      <c r="G101" s="29">
        <f t="shared" si="11"/>
        <v>2237.4521136798967</v>
      </c>
    </row>
    <row r="102" spans="4:7" x14ac:dyDescent="0.25">
      <c r="D102" s="10" t="s">
        <v>123</v>
      </c>
      <c r="E102" s="10">
        <v>84</v>
      </c>
      <c r="F102" s="11">
        <f t="shared" si="10"/>
        <v>5.9523809523809526</v>
      </c>
      <c r="G102" s="29">
        <f t="shared" si="11"/>
        <v>1860.8512628624883</v>
      </c>
    </row>
    <row r="103" spans="4:7" x14ac:dyDescent="0.25">
      <c r="D103" s="10" t="s">
        <v>98</v>
      </c>
      <c r="E103" s="10">
        <v>16.8</v>
      </c>
      <c r="F103" s="11">
        <f t="shared" si="10"/>
        <v>29.761904761904759</v>
      </c>
      <c r="G103" s="29">
        <f t="shared" si="11"/>
        <v>372.1702525724977</v>
      </c>
    </row>
    <row r="104" spans="4:7" x14ac:dyDescent="0.25">
      <c r="D104" s="10" t="s">
        <v>92</v>
      </c>
      <c r="E104" s="10">
        <v>16.8</v>
      </c>
      <c r="F104" s="11">
        <f t="shared" si="10"/>
        <v>29.761904761904759</v>
      </c>
      <c r="G104" s="29">
        <f t="shared" si="11"/>
        <v>372.1702525724977</v>
      </c>
    </row>
    <row r="105" spans="4:7" x14ac:dyDescent="0.25">
      <c r="D105" s="10" t="s">
        <v>93</v>
      </c>
      <c r="E105" s="10">
        <v>16.8</v>
      </c>
      <c r="F105" s="11">
        <f t="shared" si="10"/>
        <v>29.761904761904759</v>
      </c>
      <c r="G105" s="29">
        <f t="shared" si="11"/>
        <v>372.1702525724977</v>
      </c>
    </row>
    <row r="106" spans="4:7" x14ac:dyDescent="0.25">
      <c r="D106" s="10" t="s">
        <v>95</v>
      </c>
      <c r="E106" s="10">
        <v>16.8</v>
      </c>
      <c r="F106" s="11">
        <f t="shared" si="10"/>
        <v>29.761904761904759</v>
      </c>
      <c r="G106" s="29">
        <f t="shared" si="11"/>
        <v>372.1702525724977</v>
      </c>
    </row>
    <row r="107" spans="4:7" x14ac:dyDescent="0.25">
      <c r="D107" s="10" t="s">
        <v>97</v>
      </c>
      <c r="E107" s="10">
        <v>16.8</v>
      </c>
      <c r="F107" s="11">
        <f t="shared" si="10"/>
        <v>29.761904761904759</v>
      </c>
      <c r="G107" s="29">
        <f t="shared" si="11"/>
        <v>372.1702525724977</v>
      </c>
    </row>
    <row r="108" spans="4:7" x14ac:dyDescent="0.25">
      <c r="D108" s="49" t="s">
        <v>191</v>
      </c>
      <c r="E108" s="50"/>
      <c r="F108" s="50"/>
      <c r="G108" s="51"/>
    </row>
    <row r="109" spans="4:7" x14ac:dyDescent="0.25">
      <c r="D109" s="16" t="s">
        <v>119</v>
      </c>
      <c r="E109" s="16">
        <v>506</v>
      </c>
      <c r="F109" s="17">
        <f t="shared" ref="F109:F120" si="12">N$5/E109</f>
        <v>0.98814229249011853</v>
      </c>
      <c r="G109" s="30">
        <f t="shared" ref="G109:G120" si="13">N$15/F109</f>
        <v>11209.413559624038</v>
      </c>
    </row>
    <row r="110" spans="4:7" x14ac:dyDescent="0.25">
      <c r="D110" s="16" t="s">
        <v>120</v>
      </c>
      <c r="E110" s="16">
        <v>101</v>
      </c>
      <c r="F110" s="17">
        <f t="shared" si="12"/>
        <v>4.9504950495049505</v>
      </c>
      <c r="G110" s="30">
        <f t="shared" si="13"/>
        <v>2237.4521136798967</v>
      </c>
    </row>
    <row r="111" spans="4:7" x14ac:dyDescent="0.25">
      <c r="D111" s="16" t="s">
        <v>114</v>
      </c>
      <c r="E111" s="16">
        <v>101</v>
      </c>
      <c r="F111" s="17">
        <f t="shared" si="12"/>
        <v>4.9504950495049505</v>
      </c>
      <c r="G111" s="30">
        <f t="shared" si="13"/>
        <v>2237.4521136798967</v>
      </c>
    </row>
    <row r="112" spans="4:7" x14ac:dyDescent="0.25">
      <c r="D112" s="16" t="s">
        <v>115</v>
      </c>
      <c r="E112" s="16">
        <v>101</v>
      </c>
      <c r="F112" s="17">
        <f t="shared" si="12"/>
        <v>4.9504950495049505</v>
      </c>
      <c r="G112" s="30">
        <f t="shared" si="13"/>
        <v>2237.4521136798967</v>
      </c>
    </row>
    <row r="113" spans="4:7" x14ac:dyDescent="0.25">
      <c r="D113" s="16" t="s">
        <v>117</v>
      </c>
      <c r="E113" s="16">
        <v>101</v>
      </c>
      <c r="F113" s="17">
        <f t="shared" si="12"/>
        <v>4.9504950495049505</v>
      </c>
      <c r="G113" s="30">
        <f t="shared" si="13"/>
        <v>2237.4521136798967</v>
      </c>
    </row>
    <row r="114" spans="4:7" x14ac:dyDescent="0.25">
      <c r="D114" s="16" t="s">
        <v>121</v>
      </c>
      <c r="E114" s="16">
        <v>101</v>
      </c>
      <c r="F114" s="17">
        <f t="shared" si="12"/>
        <v>4.9504950495049505</v>
      </c>
      <c r="G114" s="30">
        <f t="shared" si="13"/>
        <v>2237.4521136798967</v>
      </c>
    </row>
    <row r="115" spans="4:7" x14ac:dyDescent="0.25">
      <c r="D115" s="16" t="s">
        <v>109</v>
      </c>
      <c r="E115" s="16">
        <v>84</v>
      </c>
      <c r="F115" s="17">
        <f t="shared" si="12"/>
        <v>5.9523809523809526</v>
      </c>
      <c r="G115" s="30">
        <f t="shared" si="13"/>
        <v>1860.8512628624883</v>
      </c>
    </row>
    <row r="116" spans="4:7" x14ac:dyDescent="0.25">
      <c r="D116" s="16" t="s">
        <v>88</v>
      </c>
      <c r="E116" s="16">
        <v>16.8</v>
      </c>
      <c r="F116" s="17">
        <f t="shared" si="12"/>
        <v>29.761904761904759</v>
      </c>
      <c r="G116" s="30">
        <f t="shared" si="13"/>
        <v>372.1702525724977</v>
      </c>
    </row>
    <row r="117" spans="4:7" x14ac:dyDescent="0.25">
      <c r="D117" s="16" t="s">
        <v>113</v>
      </c>
      <c r="E117" s="16">
        <v>16</v>
      </c>
      <c r="F117" s="17">
        <f t="shared" si="12"/>
        <v>31.25</v>
      </c>
      <c r="G117" s="30">
        <f t="shared" si="13"/>
        <v>354.44785959285491</v>
      </c>
    </row>
    <row r="118" spans="4:7" x14ac:dyDescent="0.25">
      <c r="D118" s="16" t="s">
        <v>116</v>
      </c>
      <c r="E118" s="16">
        <v>16</v>
      </c>
      <c r="F118" s="17">
        <f t="shared" si="12"/>
        <v>31.25</v>
      </c>
      <c r="G118" s="30">
        <f t="shared" si="13"/>
        <v>354.44785959285491</v>
      </c>
    </row>
    <row r="119" spans="4:7" x14ac:dyDescent="0.25">
      <c r="D119" s="16" t="s">
        <v>118</v>
      </c>
      <c r="E119" s="16">
        <v>16</v>
      </c>
      <c r="F119" s="17">
        <f t="shared" si="12"/>
        <v>31.25</v>
      </c>
      <c r="G119" s="30">
        <f t="shared" si="13"/>
        <v>354.44785959285491</v>
      </c>
    </row>
    <row r="120" spans="4:7" x14ac:dyDescent="0.25">
      <c r="D120" s="16" t="s">
        <v>122</v>
      </c>
      <c r="E120" s="16">
        <v>16</v>
      </c>
      <c r="F120" s="17">
        <f t="shared" si="12"/>
        <v>31.25</v>
      </c>
      <c r="G120" s="30">
        <f t="shared" si="13"/>
        <v>354.44785959285491</v>
      </c>
    </row>
    <row r="121" spans="4:7" x14ac:dyDescent="0.25">
      <c r="D121" s="46" t="s">
        <v>192</v>
      </c>
      <c r="E121" s="47"/>
      <c r="F121" s="47"/>
      <c r="G121" s="48"/>
    </row>
    <row r="122" spans="4:7" x14ac:dyDescent="0.25">
      <c r="D122" s="23" t="s">
        <v>188</v>
      </c>
      <c r="E122" s="23">
        <v>506</v>
      </c>
      <c r="F122" s="24">
        <f t="shared" ref="F122:F133" si="14">N$5/E122</f>
        <v>0.98814229249011853</v>
      </c>
      <c r="G122" s="14">
        <f t="shared" ref="G122:G133" si="15">N$15/F122</f>
        <v>11209.413559624038</v>
      </c>
    </row>
    <row r="123" spans="4:7" x14ac:dyDescent="0.25">
      <c r="D123" s="23" t="s">
        <v>164</v>
      </c>
      <c r="E123" s="23">
        <v>101</v>
      </c>
      <c r="F123" s="24">
        <f t="shared" si="14"/>
        <v>4.9504950495049505</v>
      </c>
      <c r="G123" s="14">
        <f t="shared" si="15"/>
        <v>2237.4521136798967</v>
      </c>
    </row>
    <row r="124" spans="4:7" x14ac:dyDescent="0.25">
      <c r="D124" s="23" t="s">
        <v>166</v>
      </c>
      <c r="E124" s="23">
        <v>101</v>
      </c>
      <c r="F124" s="24">
        <f t="shared" si="14"/>
        <v>4.9504950495049505</v>
      </c>
      <c r="G124" s="14">
        <f t="shared" si="15"/>
        <v>2237.4521136798967</v>
      </c>
    </row>
    <row r="125" spans="4:7" x14ac:dyDescent="0.25">
      <c r="D125" s="23" t="s">
        <v>167</v>
      </c>
      <c r="E125" s="23">
        <v>101</v>
      </c>
      <c r="F125" s="24">
        <f t="shared" si="14"/>
        <v>4.9504950495049505</v>
      </c>
      <c r="G125" s="14">
        <f t="shared" si="15"/>
        <v>2237.4521136798967</v>
      </c>
    </row>
    <row r="126" spans="4:7" x14ac:dyDescent="0.25">
      <c r="D126" s="23" t="s">
        <v>169</v>
      </c>
      <c r="E126" s="23">
        <v>101</v>
      </c>
      <c r="F126" s="24">
        <f t="shared" si="14"/>
        <v>4.9504950495049505</v>
      </c>
      <c r="G126" s="14">
        <f t="shared" si="15"/>
        <v>2237.4521136798967</v>
      </c>
    </row>
    <row r="127" spans="4:7" x14ac:dyDescent="0.25">
      <c r="D127" s="23" t="s">
        <v>170</v>
      </c>
      <c r="E127" s="23">
        <v>101</v>
      </c>
      <c r="F127" s="24">
        <f t="shared" si="14"/>
        <v>4.9504950495049505</v>
      </c>
      <c r="G127" s="14">
        <f t="shared" si="15"/>
        <v>2237.4521136798967</v>
      </c>
    </row>
    <row r="128" spans="4:7" x14ac:dyDescent="0.25">
      <c r="D128" s="23" t="s">
        <v>172</v>
      </c>
      <c r="E128" s="23">
        <v>84</v>
      </c>
      <c r="F128" s="24">
        <f t="shared" si="14"/>
        <v>5.9523809523809526</v>
      </c>
      <c r="G128" s="14">
        <f t="shared" si="15"/>
        <v>1860.8512628624883</v>
      </c>
    </row>
    <row r="129" spans="4:7" x14ac:dyDescent="0.25">
      <c r="D129" s="23" t="s">
        <v>163</v>
      </c>
      <c r="E129" s="23">
        <v>16</v>
      </c>
      <c r="F129" s="24">
        <f t="shared" si="14"/>
        <v>31.25</v>
      </c>
      <c r="G129" s="14">
        <f t="shared" si="15"/>
        <v>354.44785959285491</v>
      </c>
    </row>
    <row r="130" spans="4:7" x14ac:dyDescent="0.25">
      <c r="D130" s="23" t="s">
        <v>165</v>
      </c>
      <c r="E130" s="23">
        <v>16</v>
      </c>
      <c r="F130" s="24">
        <f t="shared" si="14"/>
        <v>31.25</v>
      </c>
      <c r="G130" s="14">
        <f t="shared" si="15"/>
        <v>354.44785959285491</v>
      </c>
    </row>
    <row r="131" spans="4:7" x14ac:dyDescent="0.25">
      <c r="D131" s="23" t="s">
        <v>173</v>
      </c>
      <c r="E131" s="23">
        <v>16</v>
      </c>
      <c r="F131" s="24">
        <f t="shared" si="14"/>
        <v>31.25</v>
      </c>
      <c r="G131" s="14">
        <f t="shared" si="15"/>
        <v>354.44785959285491</v>
      </c>
    </row>
    <row r="132" spans="4:7" x14ac:dyDescent="0.25">
      <c r="D132" s="23" t="s">
        <v>168</v>
      </c>
      <c r="E132" s="23">
        <v>16</v>
      </c>
      <c r="F132" s="24">
        <f t="shared" si="14"/>
        <v>31.25</v>
      </c>
      <c r="G132" s="14">
        <f t="shared" si="15"/>
        <v>354.44785959285491</v>
      </c>
    </row>
    <row r="133" spans="4:7" x14ac:dyDescent="0.25">
      <c r="D133" s="23" t="s">
        <v>171</v>
      </c>
      <c r="E133" s="23">
        <v>16</v>
      </c>
      <c r="F133" s="24">
        <f t="shared" si="14"/>
        <v>31.25</v>
      </c>
      <c r="G133" s="14">
        <f t="shared" si="15"/>
        <v>354.44785959285491</v>
      </c>
    </row>
    <row r="134" spans="4:7" x14ac:dyDescent="0.25">
      <c r="D134" s="27"/>
      <c r="E134" s="2"/>
      <c r="F134" s="6"/>
      <c r="G134" s="22"/>
    </row>
    <row r="135" spans="4:7" x14ac:dyDescent="0.25">
      <c r="D135" s="45" t="s">
        <v>77</v>
      </c>
      <c r="E135" s="45"/>
      <c r="F135" s="45"/>
      <c r="G135" s="45"/>
    </row>
    <row r="136" spans="4:7" x14ac:dyDescent="0.25">
      <c r="D136" s="2" t="s">
        <v>67</v>
      </c>
      <c r="E136" s="2">
        <v>10</v>
      </c>
      <c r="F136" s="6">
        <f t="shared" ref="F136:F149" si="16">N$5/E136</f>
        <v>50</v>
      </c>
      <c r="G136" s="25">
        <f t="shared" ref="G136:G149" si="17">N$15/F136</f>
        <v>221.52991224553432</v>
      </c>
    </row>
    <row r="137" spans="4:7" x14ac:dyDescent="0.25">
      <c r="D137" s="2" t="s">
        <v>68</v>
      </c>
      <c r="E137" s="2">
        <v>10</v>
      </c>
      <c r="F137" s="6">
        <f t="shared" si="16"/>
        <v>50</v>
      </c>
      <c r="G137" s="25">
        <f t="shared" si="17"/>
        <v>221.52991224553432</v>
      </c>
    </row>
    <row r="138" spans="4:7" x14ac:dyDescent="0.25">
      <c r="D138" s="2" t="s">
        <v>69</v>
      </c>
      <c r="E138" s="2">
        <v>10</v>
      </c>
      <c r="F138" s="6">
        <f t="shared" si="16"/>
        <v>50</v>
      </c>
      <c r="G138" s="25">
        <f t="shared" si="17"/>
        <v>221.52991224553432</v>
      </c>
    </row>
    <row r="139" spans="4:7" x14ac:dyDescent="0.25">
      <c r="D139" s="2" t="s">
        <v>70</v>
      </c>
      <c r="E139" s="2">
        <v>10</v>
      </c>
      <c r="F139" s="6">
        <f t="shared" si="16"/>
        <v>50</v>
      </c>
      <c r="G139" s="25">
        <f t="shared" si="17"/>
        <v>221.52991224553432</v>
      </c>
    </row>
    <row r="140" spans="4:7" x14ac:dyDescent="0.25">
      <c r="D140" s="2" t="s">
        <v>71</v>
      </c>
      <c r="E140" s="2">
        <v>10</v>
      </c>
      <c r="F140" s="6">
        <f t="shared" si="16"/>
        <v>50</v>
      </c>
      <c r="G140" s="25">
        <f t="shared" si="17"/>
        <v>221.52991224553432</v>
      </c>
    </row>
    <row r="141" spans="4:7" x14ac:dyDescent="0.25">
      <c r="D141" s="2" t="s">
        <v>89</v>
      </c>
      <c r="E141" s="2">
        <v>101</v>
      </c>
      <c r="F141" s="6">
        <f t="shared" si="16"/>
        <v>4.9504950495049505</v>
      </c>
      <c r="G141" s="25">
        <f t="shared" si="17"/>
        <v>2237.4521136798967</v>
      </c>
    </row>
    <row r="142" spans="4:7" x14ac:dyDescent="0.25">
      <c r="D142" s="2" t="s">
        <v>90</v>
      </c>
      <c r="E142" s="2">
        <v>101</v>
      </c>
      <c r="F142" s="6">
        <f t="shared" si="16"/>
        <v>4.9504950495049505</v>
      </c>
      <c r="G142" s="25">
        <f t="shared" si="17"/>
        <v>2237.4521136798967</v>
      </c>
    </row>
    <row r="143" spans="4:7" x14ac:dyDescent="0.25">
      <c r="D143" s="2" t="s">
        <v>91</v>
      </c>
      <c r="E143" s="2">
        <v>111</v>
      </c>
      <c r="F143" s="6">
        <f t="shared" si="16"/>
        <v>4.5045045045045047</v>
      </c>
      <c r="G143" s="25">
        <f t="shared" si="17"/>
        <v>2458.9820259254311</v>
      </c>
    </row>
    <row r="144" spans="4:7" x14ac:dyDescent="0.25">
      <c r="D144" s="2" t="s">
        <v>78</v>
      </c>
      <c r="E144" s="2">
        <v>640</v>
      </c>
      <c r="F144" s="2">
        <f t="shared" si="16"/>
        <v>0.78125</v>
      </c>
      <c r="G144" s="25">
        <f t="shared" si="17"/>
        <v>14177.914383714196</v>
      </c>
    </row>
    <row r="145" spans="4:7" x14ac:dyDescent="0.25">
      <c r="D145" s="2" t="s">
        <v>79</v>
      </c>
      <c r="E145" s="2">
        <v>640</v>
      </c>
      <c r="F145" s="2">
        <f t="shared" si="16"/>
        <v>0.78125</v>
      </c>
      <c r="G145" s="25">
        <f t="shared" si="17"/>
        <v>14177.914383714196</v>
      </c>
    </row>
    <row r="146" spans="4:7" x14ac:dyDescent="0.25">
      <c r="D146" s="2" t="s">
        <v>80</v>
      </c>
      <c r="E146" s="2">
        <v>640</v>
      </c>
      <c r="F146" s="2">
        <f t="shared" si="16"/>
        <v>0.78125</v>
      </c>
      <c r="G146" s="25">
        <f t="shared" si="17"/>
        <v>14177.914383714196</v>
      </c>
    </row>
    <row r="147" spans="4:7" x14ac:dyDescent="0.25">
      <c r="D147" s="2" t="s">
        <v>81</v>
      </c>
      <c r="E147" s="2">
        <v>640</v>
      </c>
      <c r="F147" s="2">
        <f t="shared" si="16"/>
        <v>0.78125</v>
      </c>
      <c r="G147" s="25">
        <f t="shared" si="17"/>
        <v>14177.914383714196</v>
      </c>
    </row>
    <row r="148" spans="4:7" x14ac:dyDescent="0.25">
      <c r="D148" s="2" t="s">
        <v>83</v>
      </c>
      <c r="E148" s="2">
        <v>640</v>
      </c>
      <c r="F148" s="2">
        <f t="shared" si="16"/>
        <v>0.78125</v>
      </c>
      <c r="G148" s="25">
        <f t="shared" si="17"/>
        <v>14177.914383714196</v>
      </c>
    </row>
    <row r="149" spans="4:7" x14ac:dyDescent="0.25">
      <c r="D149" s="2" t="s">
        <v>82</v>
      </c>
      <c r="E149" s="2">
        <v>640</v>
      </c>
      <c r="F149" s="2">
        <f t="shared" si="16"/>
        <v>0.78125</v>
      </c>
      <c r="G149" s="25">
        <f t="shared" si="17"/>
        <v>14177.914383714196</v>
      </c>
    </row>
    <row r="151" spans="4:7" x14ac:dyDescent="0.25">
      <c r="D151" s="45" t="s">
        <v>100</v>
      </c>
      <c r="E151" s="45"/>
      <c r="F151" s="45"/>
      <c r="G151" s="45"/>
    </row>
    <row r="152" spans="4:7" x14ac:dyDescent="0.25">
      <c r="D152" s="5" t="s">
        <v>1</v>
      </c>
      <c r="E152" s="5" t="s">
        <v>2</v>
      </c>
      <c r="F152" s="5" t="s">
        <v>9</v>
      </c>
      <c r="G152" s="14" t="s">
        <v>10</v>
      </c>
    </row>
    <row r="153" spans="4:7" x14ac:dyDescent="0.25">
      <c r="D153" s="2" t="s">
        <v>112</v>
      </c>
      <c r="E153" s="2">
        <v>75</v>
      </c>
      <c r="F153" s="6">
        <f>N$5/E153</f>
        <v>6.666666666666667</v>
      </c>
      <c r="G153" s="25">
        <f>N$15/F153</f>
        <v>1661.4743418415073</v>
      </c>
    </row>
    <row r="155" spans="4:7" x14ac:dyDescent="0.25">
      <c r="D155" s="45" t="s">
        <v>101</v>
      </c>
      <c r="E155" s="45"/>
      <c r="F155" s="45"/>
      <c r="G155" s="45"/>
    </row>
    <row r="156" spans="4:7" x14ac:dyDescent="0.25">
      <c r="D156" s="2" t="s">
        <v>102</v>
      </c>
      <c r="E156" s="2">
        <v>84</v>
      </c>
      <c r="F156" s="6">
        <f t="shared" ref="F156:F162" si="18">N$5/E156</f>
        <v>5.9523809523809526</v>
      </c>
      <c r="G156" s="25">
        <f t="shared" ref="G156:G162" si="19">N$15/F156</f>
        <v>1860.8512628624883</v>
      </c>
    </row>
    <row r="157" spans="4:7" x14ac:dyDescent="0.25">
      <c r="D157" s="2" t="s">
        <v>103</v>
      </c>
      <c r="E157" s="2">
        <v>16.8</v>
      </c>
      <c r="F157" s="6">
        <f t="shared" si="18"/>
        <v>29.761904761904759</v>
      </c>
      <c r="G157" s="25">
        <f t="shared" si="19"/>
        <v>372.1702525724977</v>
      </c>
    </row>
    <row r="158" spans="4:7" x14ac:dyDescent="0.25">
      <c r="D158" s="2" t="s">
        <v>104</v>
      </c>
      <c r="E158" s="2">
        <v>24</v>
      </c>
      <c r="F158" s="6">
        <f t="shared" si="18"/>
        <v>20.833333333333332</v>
      </c>
      <c r="G158" s="25">
        <f t="shared" si="19"/>
        <v>531.67178938928237</v>
      </c>
    </row>
    <row r="159" spans="4:7" x14ac:dyDescent="0.25">
      <c r="D159" s="2" t="s">
        <v>105</v>
      </c>
      <c r="E159" s="2">
        <v>16.8</v>
      </c>
      <c r="F159" s="6">
        <f t="shared" si="18"/>
        <v>29.761904761904759</v>
      </c>
      <c r="G159" s="25">
        <f t="shared" si="19"/>
        <v>372.1702525724977</v>
      </c>
    </row>
    <row r="160" spans="4:7" x14ac:dyDescent="0.25">
      <c r="D160" s="2" t="s">
        <v>106</v>
      </c>
      <c r="E160" s="2">
        <v>16.8</v>
      </c>
      <c r="F160" s="6">
        <f t="shared" si="18"/>
        <v>29.761904761904759</v>
      </c>
      <c r="G160" s="25">
        <f t="shared" si="19"/>
        <v>372.1702525724977</v>
      </c>
    </row>
    <row r="161" spans="4:7" x14ac:dyDescent="0.25">
      <c r="D161" s="2" t="s">
        <v>107</v>
      </c>
      <c r="E161" s="2">
        <v>17.8</v>
      </c>
      <c r="F161" s="6">
        <f t="shared" si="18"/>
        <v>28.089887640449437</v>
      </c>
      <c r="G161" s="25">
        <f t="shared" si="19"/>
        <v>394.32324379705113</v>
      </c>
    </row>
    <row r="162" spans="4:7" x14ac:dyDescent="0.25">
      <c r="D162" s="2" t="s">
        <v>108</v>
      </c>
      <c r="E162" s="2">
        <v>16.8</v>
      </c>
      <c r="F162" s="6">
        <f t="shared" si="18"/>
        <v>29.761904761904759</v>
      </c>
      <c r="G162" s="25">
        <f t="shared" si="19"/>
        <v>372.1702525724977</v>
      </c>
    </row>
    <row r="163" spans="4:7" x14ac:dyDescent="0.25">
      <c r="F163" s="9"/>
    </row>
    <row r="164" spans="4:7" x14ac:dyDescent="0.25">
      <c r="D164" s="45" t="s">
        <v>110</v>
      </c>
      <c r="E164" s="45"/>
      <c r="F164" s="45"/>
      <c r="G164" s="45"/>
    </row>
    <row r="165" spans="4:7" x14ac:dyDescent="0.25">
      <c r="D165" s="2" t="s">
        <v>111</v>
      </c>
      <c r="E165" s="2">
        <v>72</v>
      </c>
      <c r="F165" s="6">
        <f>N$5/E165</f>
        <v>6.9444444444444446</v>
      </c>
      <c r="G165" s="25">
        <f>N$15/F165</f>
        <v>1595.0153681678471</v>
      </c>
    </row>
    <row r="166" spans="4:7" x14ac:dyDescent="0.25">
      <c r="D166" s="26" t="s">
        <v>177</v>
      </c>
      <c r="E166" s="26">
        <v>21</v>
      </c>
      <c r="F166" s="6">
        <f>N$5/E166</f>
        <v>23.80952380952381</v>
      </c>
      <c r="G166" s="25">
        <f>N$15/F166</f>
        <v>465.21281571562207</v>
      </c>
    </row>
    <row r="167" spans="4:7" x14ac:dyDescent="0.25">
      <c r="G167" s="15"/>
    </row>
    <row r="168" spans="4:7" x14ac:dyDescent="0.25">
      <c r="D168" s="45" t="s">
        <v>136</v>
      </c>
      <c r="E168" s="45"/>
      <c r="F168" s="45"/>
      <c r="G168" s="45"/>
    </row>
    <row r="169" spans="4:7" x14ac:dyDescent="0.25">
      <c r="D169" s="5" t="s">
        <v>1</v>
      </c>
      <c r="E169" s="5" t="s">
        <v>2</v>
      </c>
      <c r="F169" s="5" t="s">
        <v>9</v>
      </c>
      <c r="G169" s="14" t="s">
        <v>10</v>
      </c>
    </row>
    <row r="170" spans="4:7" x14ac:dyDescent="0.25">
      <c r="D170" s="2" t="s">
        <v>137</v>
      </c>
      <c r="E170" s="2">
        <v>101</v>
      </c>
      <c r="F170" s="6">
        <f t="shared" ref="F170:F180" si="20">N$5/E170</f>
        <v>4.9504950495049505</v>
      </c>
      <c r="G170" s="25">
        <f t="shared" ref="G170:G180" si="21">N$15/F170</f>
        <v>2237.4521136798967</v>
      </c>
    </row>
    <row r="171" spans="4:7" x14ac:dyDescent="0.25">
      <c r="D171" s="2" t="s">
        <v>140</v>
      </c>
      <c r="E171" s="2">
        <v>101</v>
      </c>
      <c r="F171" s="6">
        <f t="shared" si="20"/>
        <v>4.9504950495049505</v>
      </c>
      <c r="G171" s="25">
        <f t="shared" si="21"/>
        <v>2237.4521136798967</v>
      </c>
    </row>
    <row r="172" spans="4:7" x14ac:dyDescent="0.25">
      <c r="D172" s="2" t="s">
        <v>143</v>
      </c>
      <c r="E172" s="2">
        <v>101</v>
      </c>
      <c r="F172" s="6">
        <f t="shared" si="20"/>
        <v>4.9504950495049505</v>
      </c>
      <c r="G172" s="25">
        <f t="shared" si="21"/>
        <v>2237.4521136798967</v>
      </c>
    </row>
    <row r="173" spans="4:7" x14ac:dyDescent="0.25">
      <c r="D173" s="2" t="s">
        <v>146</v>
      </c>
      <c r="E173" s="2">
        <v>101</v>
      </c>
      <c r="F173" s="6">
        <f t="shared" si="20"/>
        <v>4.9504950495049505</v>
      </c>
      <c r="G173" s="25">
        <f t="shared" si="21"/>
        <v>2237.4521136798967</v>
      </c>
    </row>
    <row r="174" spans="4:7" x14ac:dyDescent="0.25">
      <c r="D174" s="2" t="s">
        <v>147</v>
      </c>
      <c r="E174" s="2">
        <v>101</v>
      </c>
      <c r="F174" s="6">
        <f t="shared" si="20"/>
        <v>4.9504950495049505</v>
      </c>
      <c r="G174" s="25">
        <f t="shared" si="21"/>
        <v>2237.4521136798967</v>
      </c>
    </row>
    <row r="175" spans="4:7" x14ac:dyDescent="0.25">
      <c r="D175" s="2" t="s">
        <v>139</v>
      </c>
      <c r="E175" s="2">
        <v>84</v>
      </c>
      <c r="F175" s="6">
        <f t="shared" si="20"/>
        <v>5.9523809523809526</v>
      </c>
      <c r="G175" s="25">
        <f t="shared" si="21"/>
        <v>1860.8512628624883</v>
      </c>
    </row>
    <row r="176" spans="4:7" x14ac:dyDescent="0.25">
      <c r="D176" s="2" t="s">
        <v>138</v>
      </c>
      <c r="E176" s="2">
        <v>16</v>
      </c>
      <c r="F176" s="6">
        <f t="shared" si="20"/>
        <v>31.25</v>
      </c>
      <c r="G176" s="25">
        <f t="shared" si="21"/>
        <v>354.44785959285491</v>
      </c>
    </row>
    <row r="177" spans="4:7" x14ac:dyDescent="0.25">
      <c r="D177" s="2" t="s">
        <v>141</v>
      </c>
      <c r="E177" s="2">
        <v>16</v>
      </c>
      <c r="F177" s="6">
        <f t="shared" si="20"/>
        <v>31.25</v>
      </c>
      <c r="G177" s="25">
        <f t="shared" si="21"/>
        <v>354.44785959285491</v>
      </c>
    </row>
    <row r="178" spans="4:7" x14ac:dyDescent="0.25">
      <c r="D178" s="2" t="s">
        <v>142</v>
      </c>
      <c r="E178" s="2">
        <v>16</v>
      </c>
      <c r="F178" s="6">
        <f t="shared" si="20"/>
        <v>31.25</v>
      </c>
      <c r="G178" s="25">
        <f t="shared" si="21"/>
        <v>354.44785959285491</v>
      </c>
    </row>
    <row r="179" spans="4:7" x14ac:dyDescent="0.25">
      <c r="D179" s="2" t="s">
        <v>144</v>
      </c>
      <c r="E179" s="2">
        <v>16</v>
      </c>
      <c r="F179" s="6">
        <f t="shared" si="20"/>
        <v>31.25</v>
      </c>
      <c r="G179" s="25">
        <f t="shared" si="21"/>
        <v>354.44785959285491</v>
      </c>
    </row>
    <row r="180" spans="4:7" x14ac:dyDescent="0.25">
      <c r="D180" s="2" t="s">
        <v>145</v>
      </c>
      <c r="E180" s="2">
        <v>16</v>
      </c>
      <c r="F180" s="6">
        <f t="shared" si="20"/>
        <v>31.25</v>
      </c>
      <c r="G180" s="25">
        <f t="shared" si="21"/>
        <v>354.44785959285491</v>
      </c>
    </row>
    <row r="181" spans="4:7" x14ac:dyDescent="0.25">
      <c r="G181" s="1"/>
    </row>
    <row r="182" spans="4:7" x14ac:dyDescent="0.25">
      <c r="D182" s="45" t="s">
        <v>148</v>
      </c>
      <c r="E182" s="45"/>
      <c r="F182" s="45"/>
      <c r="G182" s="45"/>
    </row>
    <row r="183" spans="4:7" x14ac:dyDescent="0.25">
      <c r="D183" s="5" t="s">
        <v>1</v>
      </c>
      <c r="E183" s="5" t="s">
        <v>2</v>
      </c>
      <c r="F183" s="5" t="s">
        <v>9</v>
      </c>
      <c r="G183" s="14" t="s">
        <v>10</v>
      </c>
    </row>
    <row r="184" spans="4:7" x14ac:dyDescent="0.25">
      <c r="D184" s="2" t="s">
        <v>156</v>
      </c>
      <c r="E184" s="2">
        <v>34</v>
      </c>
      <c r="F184" s="6">
        <f t="shared" ref="F184:F196" si="22">N$5/E184</f>
        <v>14.705882352941176</v>
      </c>
      <c r="G184" s="25">
        <f t="shared" ref="G184:G196" si="23">N$15/F184</f>
        <v>753.20170163481669</v>
      </c>
    </row>
    <row r="185" spans="4:7" x14ac:dyDescent="0.25">
      <c r="D185" s="2" t="s">
        <v>157</v>
      </c>
      <c r="E185" s="2">
        <v>33</v>
      </c>
      <c r="F185" s="6">
        <f t="shared" si="22"/>
        <v>15.151515151515152</v>
      </c>
      <c r="G185" s="25">
        <f t="shared" si="23"/>
        <v>731.0487104102632</v>
      </c>
    </row>
    <row r="186" spans="4:7" x14ac:dyDescent="0.25">
      <c r="D186" s="2" t="s">
        <v>151</v>
      </c>
      <c r="E186" s="2">
        <v>33</v>
      </c>
      <c r="F186" s="6">
        <f t="shared" si="22"/>
        <v>15.151515151515152</v>
      </c>
      <c r="G186" s="25">
        <f t="shared" si="23"/>
        <v>731.0487104102632</v>
      </c>
    </row>
    <row r="187" spans="4:7" x14ac:dyDescent="0.25">
      <c r="D187" s="2" t="s">
        <v>158</v>
      </c>
      <c r="E187" s="2">
        <v>33</v>
      </c>
      <c r="F187" s="6">
        <f t="shared" si="22"/>
        <v>15.151515151515152</v>
      </c>
      <c r="G187" s="25">
        <f t="shared" si="23"/>
        <v>731.0487104102632</v>
      </c>
    </row>
    <row r="188" spans="4:7" x14ac:dyDescent="0.25">
      <c r="D188" s="2" t="s">
        <v>153</v>
      </c>
      <c r="E188" s="2">
        <v>33</v>
      </c>
      <c r="F188" s="6">
        <f t="shared" si="22"/>
        <v>15.151515151515152</v>
      </c>
      <c r="G188" s="25">
        <f t="shared" si="23"/>
        <v>731.0487104102632</v>
      </c>
    </row>
    <row r="189" spans="4:7" x14ac:dyDescent="0.25">
      <c r="D189" s="2" t="s">
        <v>160</v>
      </c>
      <c r="E189" s="2">
        <v>33</v>
      </c>
      <c r="F189" s="6">
        <f t="shared" si="22"/>
        <v>15.151515151515152</v>
      </c>
      <c r="G189" s="25">
        <f t="shared" si="23"/>
        <v>731.0487104102632</v>
      </c>
    </row>
    <row r="190" spans="4:7" x14ac:dyDescent="0.25">
      <c r="D190" s="2" t="s">
        <v>161</v>
      </c>
      <c r="E190" s="2">
        <v>29</v>
      </c>
      <c r="F190" s="6">
        <f t="shared" si="22"/>
        <v>17.241379310344829</v>
      </c>
      <c r="G190" s="25">
        <f t="shared" si="23"/>
        <v>642.43674551204947</v>
      </c>
    </row>
    <row r="191" spans="4:7" x14ac:dyDescent="0.25">
      <c r="D191" s="2" t="s">
        <v>149</v>
      </c>
      <c r="E191" s="2">
        <v>5</v>
      </c>
      <c r="F191" s="6">
        <f t="shared" si="22"/>
        <v>100</v>
      </c>
      <c r="G191" s="25">
        <f t="shared" si="23"/>
        <v>110.76495612276716</v>
      </c>
    </row>
    <row r="192" spans="4:7" x14ac:dyDescent="0.25">
      <c r="D192" s="2" t="s">
        <v>150</v>
      </c>
      <c r="E192" s="2">
        <v>5</v>
      </c>
      <c r="F192" s="6">
        <f t="shared" si="22"/>
        <v>100</v>
      </c>
      <c r="G192" s="25">
        <f t="shared" si="23"/>
        <v>110.76495612276716</v>
      </c>
    </row>
    <row r="193" spans="4:7" x14ac:dyDescent="0.25">
      <c r="D193" s="2" t="s">
        <v>152</v>
      </c>
      <c r="E193" s="2">
        <v>5</v>
      </c>
      <c r="F193" s="6">
        <f t="shared" si="22"/>
        <v>100</v>
      </c>
      <c r="G193" s="25">
        <f t="shared" si="23"/>
        <v>110.76495612276716</v>
      </c>
    </row>
    <row r="194" spans="4:7" x14ac:dyDescent="0.25">
      <c r="D194" s="2" t="s">
        <v>159</v>
      </c>
      <c r="E194" s="2">
        <v>5</v>
      </c>
      <c r="F194" s="6">
        <f t="shared" si="22"/>
        <v>100</v>
      </c>
      <c r="G194" s="25">
        <f t="shared" si="23"/>
        <v>110.76495612276716</v>
      </c>
    </row>
    <row r="195" spans="4:7" x14ac:dyDescent="0.25">
      <c r="D195" s="2" t="s">
        <v>154</v>
      </c>
      <c r="E195" s="2">
        <v>5</v>
      </c>
      <c r="F195" s="6">
        <f t="shared" si="22"/>
        <v>100</v>
      </c>
      <c r="G195" s="25">
        <f t="shared" si="23"/>
        <v>110.76495612276716</v>
      </c>
    </row>
    <row r="196" spans="4:7" x14ac:dyDescent="0.25">
      <c r="D196" s="2" t="s">
        <v>155</v>
      </c>
      <c r="E196" s="2">
        <v>5</v>
      </c>
      <c r="F196" s="6">
        <f t="shared" si="22"/>
        <v>100</v>
      </c>
      <c r="G196" s="25">
        <f t="shared" si="23"/>
        <v>110.76495612276716</v>
      </c>
    </row>
    <row r="197" spans="4:7" x14ac:dyDescent="0.25">
      <c r="G197" s="1"/>
    </row>
    <row r="198" spans="4:7" x14ac:dyDescent="0.25">
      <c r="D198" s="45" t="s">
        <v>15</v>
      </c>
      <c r="E198" s="45"/>
      <c r="F198" s="45"/>
      <c r="G198" s="45"/>
    </row>
    <row r="199" spans="4:7" x14ac:dyDescent="0.25">
      <c r="D199" s="5" t="s">
        <v>1</v>
      </c>
      <c r="E199" s="5" t="s">
        <v>2</v>
      </c>
      <c r="F199" s="5" t="s">
        <v>9</v>
      </c>
      <c r="G199" s="14" t="s">
        <v>10</v>
      </c>
    </row>
    <row r="200" spans="4:7" x14ac:dyDescent="0.25">
      <c r="D200" s="2" t="s">
        <v>19</v>
      </c>
      <c r="E200" s="2">
        <v>45</v>
      </c>
      <c r="F200" s="6">
        <f>N$5/E200</f>
        <v>11.111111111111111</v>
      </c>
      <c r="G200" s="25">
        <f>N$15/F200</f>
        <v>996.88460510490449</v>
      </c>
    </row>
    <row r="201" spans="4:7" x14ac:dyDescent="0.25">
      <c r="D201" s="2" t="s">
        <v>16</v>
      </c>
      <c r="E201" s="2">
        <v>130</v>
      </c>
      <c r="F201" s="6">
        <f>N$5/E201</f>
        <v>3.8461538461538463</v>
      </c>
      <c r="G201" s="25">
        <f>N$15/F201</f>
        <v>2879.8888591919463</v>
      </c>
    </row>
    <row r="202" spans="4:7" x14ac:dyDescent="0.25">
      <c r="D202" s="2" t="s">
        <v>17</v>
      </c>
      <c r="E202" s="2">
        <v>405</v>
      </c>
      <c r="F202" s="6">
        <f>N$5/E202</f>
        <v>1.2345679012345678</v>
      </c>
      <c r="G202" s="25">
        <f>N$15/F202</f>
        <v>8971.96144594414</v>
      </c>
    </row>
    <row r="203" spans="4:7" x14ac:dyDescent="0.25">
      <c r="D203" s="2" t="s">
        <v>18</v>
      </c>
      <c r="E203" s="2">
        <v>500</v>
      </c>
      <c r="F203" s="6">
        <f>N$5/E203</f>
        <v>1</v>
      </c>
      <c r="G203" s="25">
        <f>N$15/F203</f>
        <v>11076.495612276716</v>
      </c>
    </row>
    <row r="204" spans="4:7" x14ac:dyDescent="0.25">
      <c r="F204" s="9"/>
    </row>
    <row r="205" spans="4:7" x14ac:dyDescent="0.25">
      <c r="D205" s="45" t="s">
        <v>175</v>
      </c>
      <c r="E205" s="45"/>
      <c r="F205" s="45"/>
      <c r="G205" s="45"/>
    </row>
  </sheetData>
  <mergeCells count="23">
    <mergeCell ref="D205:G205"/>
    <mergeCell ref="D151:G151"/>
    <mergeCell ref="D155:G155"/>
    <mergeCell ref="D164:G164"/>
    <mergeCell ref="D168:G168"/>
    <mergeCell ref="D182:G182"/>
    <mergeCell ref="D198:G198"/>
    <mergeCell ref="D135:G135"/>
    <mergeCell ref="D4:G4"/>
    <mergeCell ref="O8:O11"/>
    <mergeCell ref="D11:G11"/>
    <mergeCell ref="D19:G19"/>
    <mergeCell ref="D27:G27"/>
    <mergeCell ref="D36:G36"/>
    <mergeCell ref="D44:G44"/>
    <mergeCell ref="D52:G52"/>
    <mergeCell ref="D61:G61"/>
    <mergeCell ref="D71:G71"/>
    <mergeCell ref="D80:G80"/>
    <mergeCell ref="D82:G82"/>
    <mergeCell ref="D95:G95"/>
    <mergeCell ref="D108:G108"/>
    <mergeCell ref="D121:G1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2BE03-C931-409A-88FB-0B90FBC0E8F6}">
  <dimension ref="B2:AO205"/>
  <sheetViews>
    <sheetView workbookViewId="0">
      <selection activeCell="F6" sqref="F6"/>
    </sheetView>
  </sheetViews>
  <sheetFormatPr baseColWidth="10" defaultRowHeight="15" x14ac:dyDescent="0.25"/>
  <cols>
    <col min="1" max="1" width="11.42578125" style="1"/>
    <col min="2" max="2" width="17.42578125" style="1" bestFit="1" customWidth="1"/>
    <col min="3" max="3" width="11.42578125" style="1"/>
    <col min="4" max="4" width="30.85546875" style="1" bestFit="1" customWidth="1"/>
    <col min="5" max="5" width="9.140625" style="1" customWidth="1"/>
    <col min="6" max="6" width="12.5703125" style="1" bestFit="1" customWidth="1"/>
    <col min="7" max="7" width="13.7109375" style="13" bestFit="1" customWidth="1"/>
    <col min="8" max="8" width="19.7109375" style="1" bestFit="1" customWidth="1"/>
    <col min="9" max="9" width="4.5703125" style="1" bestFit="1" customWidth="1"/>
    <col min="10" max="10" width="15.5703125" style="1" bestFit="1" customWidth="1"/>
    <col min="11" max="11" width="6.5703125" style="1" bestFit="1" customWidth="1"/>
    <col min="12" max="12" width="12.5703125" style="1" customWidth="1"/>
    <col min="13" max="13" width="25.85546875" style="1" bestFit="1" customWidth="1"/>
    <col min="14" max="14" width="14.5703125" style="1" bestFit="1" customWidth="1"/>
    <col min="15" max="15" width="22.85546875" style="1" bestFit="1" customWidth="1"/>
    <col min="16" max="16" width="4.28515625" style="1" bestFit="1" customWidth="1"/>
    <col min="17" max="17" width="12.7109375" style="1" bestFit="1" customWidth="1"/>
    <col min="18" max="18" width="12.5703125" style="33" bestFit="1" customWidth="1"/>
    <col min="19" max="41" width="11.42578125" style="33"/>
    <col min="42" max="16384" width="11.42578125" style="1"/>
  </cols>
  <sheetData>
    <row r="2" spans="2:16" ht="21" x14ac:dyDescent="0.25">
      <c r="B2" s="3" t="s">
        <v>0</v>
      </c>
    </row>
    <row r="3" spans="2:16" x14ac:dyDescent="0.25">
      <c r="L3" s="21"/>
      <c r="M3" s="21"/>
      <c r="N3" s="21"/>
      <c r="O3" s="21"/>
      <c r="P3" s="21"/>
    </row>
    <row r="4" spans="2:16" x14ac:dyDescent="0.25">
      <c r="D4" s="45" t="s">
        <v>36</v>
      </c>
      <c r="E4" s="45"/>
      <c r="F4" s="45"/>
      <c r="G4" s="45"/>
      <c r="L4" s="21"/>
      <c r="M4" s="4" t="s">
        <v>181</v>
      </c>
      <c r="N4" s="32">
        <v>179592</v>
      </c>
      <c r="O4" s="21"/>
      <c r="P4" s="21"/>
    </row>
    <row r="5" spans="2:16" x14ac:dyDescent="0.25">
      <c r="D5" s="5" t="s">
        <v>1</v>
      </c>
      <c r="E5" s="5" t="s">
        <v>2</v>
      </c>
      <c r="F5" s="5" t="s">
        <v>9</v>
      </c>
      <c r="G5" s="14" t="s">
        <v>10</v>
      </c>
      <c r="L5" s="21"/>
      <c r="M5" s="4" t="s">
        <v>185</v>
      </c>
      <c r="N5" s="4">
        <v>500</v>
      </c>
      <c r="O5" s="21"/>
      <c r="P5" s="21"/>
    </row>
    <row r="6" spans="2:16" x14ac:dyDescent="0.25">
      <c r="D6" s="2" t="s">
        <v>37</v>
      </c>
      <c r="E6" s="2">
        <v>11</v>
      </c>
      <c r="F6" s="6">
        <f>N$5/E6</f>
        <v>45.454545454545453</v>
      </c>
      <c r="G6" s="25">
        <f>N$15/F6</f>
        <v>290.63098579001291</v>
      </c>
      <c r="L6" s="21"/>
      <c r="M6" s="4" t="s">
        <v>186</v>
      </c>
      <c r="N6" s="4">
        <v>359.18400000000003</v>
      </c>
      <c r="O6" s="21"/>
      <c r="P6" s="21"/>
    </row>
    <row r="7" spans="2:16" x14ac:dyDescent="0.25">
      <c r="D7" s="2" t="s">
        <v>38</v>
      </c>
      <c r="E7" s="2">
        <v>11</v>
      </c>
      <c r="F7" s="6">
        <f>N$5/E7</f>
        <v>45.454545454545453</v>
      </c>
      <c r="G7" s="25">
        <f>N$15/F7</f>
        <v>290.63098579001291</v>
      </c>
      <c r="L7" s="21"/>
      <c r="M7" s="21"/>
      <c r="N7" s="21"/>
      <c r="O7" s="21"/>
      <c r="P7" s="21"/>
    </row>
    <row r="8" spans="2:16" x14ac:dyDescent="0.25">
      <c r="D8" s="2" t="s">
        <v>39</v>
      </c>
      <c r="E8" s="2">
        <v>10</v>
      </c>
      <c r="F8" s="6">
        <f>N$5/E8</f>
        <v>50</v>
      </c>
      <c r="G8" s="25">
        <f>N$15/F8</f>
        <v>264.20998708182992</v>
      </c>
      <c r="L8" s="21"/>
      <c r="M8" s="4" t="s">
        <v>75</v>
      </c>
      <c r="N8" s="4" t="s">
        <v>76</v>
      </c>
      <c r="O8" s="36" t="s">
        <v>178</v>
      </c>
      <c r="P8" s="21"/>
    </row>
    <row r="9" spans="2:16" x14ac:dyDescent="0.25">
      <c r="D9" s="2" t="s">
        <v>40</v>
      </c>
      <c r="E9" s="2">
        <v>13</v>
      </c>
      <c r="F9" s="6">
        <f>N$5/E9</f>
        <v>38.46153846153846</v>
      </c>
      <c r="G9" s="25">
        <f>N$15/F9</f>
        <v>343.4729832063789</v>
      </c>
      <c r="L9" s="21"/>
      <c r="M9" s="5" t="s">
        <v>187</v>
      </c>
      <c r="N9" s="31">
        <v>24500000</v>
      </c>
      <c r="O9" s="37"/>
      <c r="P9" s="21"/>
    </row>
    <row r="10" spans="2:16" x14ac:dyDescent="0.25">
      <c r="L10" s="21"/>
      <c r="M10" s="5" t="s">
        <v>182</v>
      </c>
      <c r="N10" s="34">
        <v>18000000</v>
      </c>
      <c r="O10" s="37"/>
      <c r="P10" s="21"/>
    </row>
    <row r="11" spans="2:16" x14ac:dyDescent="0.25">
      <c r="D11" s="45" t="s">
        <v>52</v>
      </c>
      <c r="E11" s="45"/>
      <c r="F11" s="45"/>
      <c r="G11" s="45"/>
      <c r="L11" s="21"/>
      <c r="M11" s="4" t="s">
        <v>162</v>
      </c>
      <c r="N11" s="7">
        <f>N9-N10</f>
        <v>6500000</v>
      </c>
      <c r="O11" s="38"/>
      <c r="P11" s="21"/>
    </row>
    <row r="12" spans="2:16" x14ac:dyDescent="0.25">
      <c r="D12" s="5" t="s">
        <v>1</v>
      </c>
      <c r="E12" s="5" t="s">
        <v>2</v>
      </c>
      <c r="F12" s="5" t="s">
        <v>9</v>
      </c>
      <c r="G12" s="14" t="s">
        <v>10</v>
      </c>
      <c r="L12" s="21"/>
      <c r="M12" s="21"/>
      <c r="N12" s="21"/>
      <c r="O12" s="21"/>
      <c r="P12" s="21"/>
    </row>
    <row r="13" spans="2:16" x14ac:dyDescent="0.25">
      <c r="D13" s="2" t="s">
        <v>47</v>
      </c>
      <c r="E13" s="2">
        <v>19</v>
      </c>
      <c r="F13" s="6">
        <f>N$5/E13</f>
        <v>26.315789473684209</v>
      </c>
      <c r="G13" s="25">
        <f>N$15/F13</f>
        <v>501.99897545547685</v>
      </c>
      <c r="L13" s="21"/>
      <c r="M13" s="5" t="s">
        <v>184</v>
      </c>
      <c r="N13" s="35">
        <v>0.27</v>
      </c>
      <c r="O13" s="21"/>
      <c r="P13" s="21"/>
    </row>
    <row r="14" spans="2:16" x14ac:dyDescent="0.25">
      <c r="D14" s="2" t="s">
        <v>48</v>
      </c>
      <c r="E14" s="2">
        <v>16</v>
      </c>
      <c r="F14" s="6">
        <f>N$5/E14</f>
        <v>31.25</v>
      </c>
      <c r="G14" s="25">
        <f>N$15/F14</f>
        <v>422.73597933092782</v>
      </c>
      <c r="L14" s="21"/>
      <c r="M14" s="4" t="s">
        <v>183</v>
      </c>
      <c r="N14" s="8">
        <f>N11-(N11*N13)</f>
        <v>4745000</v>
      </c>
      <c r="O14" s="20" t="s">
        <v>179</v>
      </c>
      <c r="P14" s="21"/>
    </row>
    <row r="15" spans="2:16" x14ac:dyDescent="0.25">
      <c r="D15" s="2" t="s">
        <v>49</v>
      </c>
      <c r="E15" s="2">
        <v>20</v>
      </c>
      <c r="F15" s="6">
        <f>N$5/E15</f>
        <v>25</v>
      </c>
      <c r="G15" s="25">
        <f>N$15/F15</f>
        <v>528.41997416365984</v>
      </c>
      <c r="L15" s="21"/>
      <c r="M15" s="4" t="s">
        <v>85</v>
      </c>
      <c r="N15" s="12">
        <f>N14/N6</f>
        <v>13210.499354091495</v>
      </c>
      <c r="O15" s="20" t="s">
        <v>180</v>
      </c>
      <c r="P15" s="21"/>
    </row>
    <row r="16" spans="2:16" x14ac:dyDescent="0.25">
      <c r="D16" s="2" t="s">
        <v>50</v>
      </c>
      <c r="E16" s="2">
        <v>18</v>
      </c>
      <c r="F16" s="6">
        <f>N$5/E16</f>
        <v>27.777777777777779</v>
      </c>
      <c r="G16" s="25">
        <f>N$15/F16</f>
        <v>475.5779767472938</v>
      </c>
      <c r="L16" s="21"/>
      <c r="M16" s="21"/>
      <c r="N16" s="21"/>
      <c r="O16" s="21"/>
      <c r="P16" s="21"/>
    </row>
    <row r="17" spans="4:7" x14ac:dyDescent="0.25">
      <c r="D17" s="2" t="s">
        <v>51</v>
      </c>
      <c r="E17" s="2">
        <v>19</v>
      </c>
      <c r="F17" s="6">
        <f>N$5/E17</f>
        <v>26.315789473684209</v>
      </c>
      <c r="G17" s="25">
        <f>N$15/F17</f>
        <v>501.99897545547685</v>
      </c>
    </row>
    <row r="19" spans="4:7" x14ac:dyDescent="0.25">
      <c r="D19" s="45" t="s">
        <v>41</v>
      </c>
      <c r="E19" s="45"/>
      <c r="F19" s="45"/>
      <c r="G19" s="45"/>
    </row>
    <row r="20" spans="4:7" x14ac:dyDescent="0.25">
      <c r="D20" s="5" t="s">
        <v>1</v>
      </c>
      <c r="E20" s="5" t="s">
        <v>2</v>
      </c>
      <c r="F20" s="5" t="s">
        <v>9</v>
      </c>
      <c r="G20" s="14" t="s">
        <v>10</v>
      </c>
    </row>
    <row r="21" spans="4:7" x14ac:dyDescent="0.25">
      <c r="D21" s="2" t="s">
        <v>42</v>
      </c>
      <c r="E21" s="2">
        <v>19</v>
      </c>
      <c r="F21" s="6">
        <f>N$5/E21</f>
        <v>26.315789473684209</v>
      </c>
      <c r="G21" s="25">
        <f>N$15/F21</f>
        <v>501.99897545547685</v>
      </c>
    </row>
    <row r="22" spans="4:7" x14ac:dyDescent="0.25">
      <c r="D22" s="2" t="s">
        <v>43</v>
      </c>
      <c r="E22" s="2">
        <v>17</v>
      </c>
      <c r="F22" s="6">
        <f>N$5/E22</f>
        <v>29.411764705882351</v>
      </c>
      <c r="G22" s="25">
        <f>N$15/F22</f>
        <v>449.15697803911087</v>
      </c>
    </row>
    <row r="23" spans="4:7" x14ac:dyDescent="0.25">
      <c r="D23" s="2" t="s">
        <v>44</v>
      </c>
      <c r="E23" s="2">
        <v>17</v>
      </c>
      <c r="F23" s="6">
        <f>N$5/E23</f>
        <v>29.411764705882351</v>
      </c>
      <c r="G23" s="25">
        <f>N$15/F23</f>
        <v>449.15697803911087</v>
      </c>
    </row>
    <row r="24" spans="4:7" x14ac:dyDescent="0.25">
      <c r="D24" s="2" t="s">
        <v>45</v>
      </c>
      <c r="E24" s="2">
        <v>16</v>
      </c>
      <c r="F24" s="6">
        <f>N$5/E24</f>
        <v>31.25</v>
      </c>
      <c r="G24" s="25">
        <f>N$15/F24</f>
        <v>422.73597933092782</v>
      </c>
    </row>
    <row r="25" spans="4:7" x14ac:dyDescent="0.25">
      <c r="D25" s="2" t="s">
        <v>46</v>
      </c>
      <c r="E25" s="2">
        <v>20</v>
      </c>
      <c r="F25" s="6">
        <f>N$5/E25</f>
        <v>25</v>
      </c>
      <c r="G25" s="25">
        <f>N$15/F25</f>
        <v>528.41997416365984</v>
      </c>
    </row>
    <row r="27" spans="4:7" x14ac:dyDescent="0.25">
      <c r="D27" s="45" t="s">
        <v>53</v>
      </c>
      <c r="E27" s="45"/>
      <c r="F27" s="45"/>
      <c r="G27" s="45"/>
    </row>
    <row r="28" spans="4:7" x14ac:dyDescent="0.25">
      <c r="D28" s="5" t="s">
        <v>1</v>
      </c>
      <c r="E28" s="5" t="s">
        <v>2</v>
      </c>
      <c r="F28" s="5" t="s">
        <v>9</v>
      </c>
      <c r="G28" s="14" t="s">
        <v>10</v>
      </c>
    </row>
    <row r="29" spans="4:7" x14ac:dyDescent="0.25">
      <c r="D29" s="2" t="s">
        <v>55</v>
      </c>
      <c r="E29" s="2">
        <v>28</v>
      </c>
      <c r="F29" s="6">
        <f t="shared" ref="F29:F34" si="0">N$5/E29</f>
        <v>17.857142857142858</v>
      </c>
      <c r="G29" s="25">
        <f t="shared" ref="G29:G34" si="1">N$15/F29</f>
        <v>739.78796382912367</v>
      </c>
    </row>
    <row r="30" spans="4:7" x14ac:dyDescent="0.25">
      <c r="D30" s="2" t="s">
        <v>56</v>
      </c>
      <c r="E30" s="2">
        <v>33</v>
      </c>
      <c r="F30" s="6">
        <f t="shared" si="0"/>
        <v>15.151515151515152</v>
      </c>
      <c r="G30" s="25">
        <f t="shared" si="1"/>
        <v>871.89295737003863</v>
      </c>
    </row>
    <row r="31" spans="4:7" x14ac:dyDescent="0.25">
      <c r="D31" s="2" t="s">
        <v>57</v>
      </c>
      <c r="E31" s="2">
        <v>24</v>
      </c>
      <c r="F31" s="6">
        <f t="shared" si="0"/>
        <v>20.833333333333332</v>
      </c>
      <c r="G31" s="25">
        <f t="shared" si="1"/>
        <v>634.10396899639181</v>
      </c>
    </row>
    <row r="32" spans="4:7" x14ac:dyDescent="0.25">
      <c r="D32" s="2" t="s">
        <v>58</v>
      </c>
      <c r="E32" s="2">
        <v>24</v>
      </c>
      <c r="F32" s="6">
        <f t="shared" si="0"/>
        <v>20.833333333333332</v>
      </c>
      <c r="G32" s="25">
        <f t="shared" si="1"/>
        <v>634.10396899639181</v>
      </c>
    </row>
    <row r="33" spans="4:7" x14ac:dyDescent="0.25">
      <c r="D33" s="2" t="s">
        <v>60</v>
      </c>
      <c r="E33" s="2">
        <v>24</v>
      </c>
      <c r="F33" s="6">
        <f t="shared" si="0"/>
        <v>20.833333333333332</v>
      </c>
      <c r="G33" s="25">
        <f t="shared" si="1"/>
        <v>634.10396899639181</v>
      </c>
    </row>
    <row r="34" spans="4:7" x14ac:dyDescent="0.25">
      <c r="D34" s="2" t="s">
        <v>59</v>
      </c>
      <c r="E34" s="2">
        <v>24</v>
      </c>
      <c r="F34" s="6">
        <f t="shared" si="0"/>
        <v>20.833333333333332</v>
      </c>
      <c r="G34" s="25">
        <f t="shared" si="1"/>
        <v>634.10396899639181</v>
      </c>
    </row>
    <row r="36" spans="4:7" x14ac:dyDescent="0.25">
      <c r="D36" s="45" t="s">
        <v>54</v>
      </c>
      <c r="E36" s="45"/>
      <c r="F36" s="45"/>
      <c r="G36" s="45"/>
    </row>
    <row r="37" spans="4:7" x14ac:dyDescent="0.25">
      <c r="D37" s="5" t="s">
        <v>1</v>
      </c>
      <c r="E37" s="5" t="s">
        <v>2</v>
      </c>
      <c r="F37" s="5" t="s">
        <v>9</v>
      </c>
      <c r="G37" s="14" t="s">
        <v>10</v>
      </c>
    </row>
    <row r="38" spans="4:7" x14ac:dyDescent="0.25">
      <c r="D38" s="2" t="s">
        <v>61</v>
      </c>
      <c r="E38" s="2">
        <v>31</v>
      </c>
      <c r="F38" s="6">
        <f>N$5/E38</f>
        <v>16.129032258064516</v>
      </c>
      <c r="G38" s="25">
        <f>N$15/F38</f>
        <v>819.05095995367265</v>
      </c>
    </row>
    <row r="39" spans="4:7" x14ac:dyDescent="0.25">
      <c r="D39" s="2" t="s">
        <v>62</v>
      </c>
      <c r="E39" s="2">
        <v>34</v>
      </c>
      <c r="F39" s="6">
        <f>N$5/E39</f>
        <v>14.705882352941176</v>
      </c>
      <c r="G39" s="25">
        <f>N$15/F39</f>
        <v>898.31395607822174</v>
      </c>
    </row>
    <row r="40" spans="4:7" x14ac:dyDescent="0.25">
      <c r="D40" s="2" t="s">
        <v>63</v>
      </c>
      <c r="E40" s="2">
        <v>34</v>
      </c>
      <c r="F40" s="6">
        <f>N$5/E40</f>
        <v>14.705882352941176</v>
      </c>
      <c r="G40" s="25">
        <f>N$15/F40</f>
        <v>898.31395607822174</v>
      </c>
    </row>
    <row r="41" spans="4:7" x14ac:dyDescent="0.25">
      <c r="D41" s="2" t="s">
        <v>64</v>
      </c>
      <c r="E41" s="2">
        <v>36</v>
      </c>
      <c r="F41" s="6">
        <f>N$5/E41</f>
        <v>13.888888888888889</v>
      </c>
      <c r="G41" s="25">
        <f>N$15/F41</f>
        <v>951.15595349458761</v>
      </c>
    </row>
    <row r="42" spans="4:7" x14ac:dyDescent="0.25">
      <c r="D42" s="2" t="s">
        <v>65</v>
      </c>
      <c r="E42" s="2">
        <v>9</v>
      </c>
      <c r="F42" s="6">
        <f>N$5/E42</f>
        <v>55.555555555555557</v>
      </c>
      <c r="G42" s="25">
        <f>N$15/F42</f>
        <v>237.7889883736469</v>
      </c>
    </row>
    <row r="44" spans="4:7" x14ac:dyDescent="0.25">
      <c r="D44" s="45" t="s">
        <v>3</v>
      </c>
      <c r="E44" s="45"/>
      <c r="F44" s="45"/>
      <c r="G44" s="45"/>
    </row>
    <row r="45" spans="4:7" x14ac:dyDescent="0.25">
      <c r="D45" s="5" t="s">
        <v>1</v>
      </c>
      <c r="E45" s="5" t="s">
        <v>2</v>
      </c>
      <c r="F45" s="5" t="s">
        <v>9</v>
      </c>
      <c r="G45" s="14" t="s">
        <v>10</v>
      </c>
    </row>
    <row r="46" spans="4:7" x14ac:dyDescent="0.25">
      <c r="D46" s="2" t="s">
        <v>4</v>
      </c>
      <c r="E46" s="2">
        <v>40</v>
      </c>
      <c r="F46" s="2">
        <f>N$5/E46</f>
        <v>12.5</v>
      </c>
      <c r="G46" s="25">
        <f>N$15/F46</f>
        <v>1056.8399483273197</v>
      </c>
    </row>
    <row r="47" spans="4:7" x14ac:dyDescent="0.25">
      <c r="D47" s="2" t="s">
        <v>5</v>
      </c>
      <c r="E47" s="2">
        <v>40</v>
      </c>
      <c r="F47" s="2">
        <f>N$5/E47</f>
        <v>12.5</v>
      </c>
      <c r="G47" s="25">
        <f>N$15/F47</f>
        <v>1056.8399483273197</v>
      </c>
    </row>
    <row r="48" spans="4:7" x14ac:dyDescent="0.25">
      <c r="D48" s="2" t="s">
        <v>6</v>
      </c>
      <c r="E48" s="2">
        <v>40</v>
      </c>
      <c r="F48" s="2">
        <f>N$5/E48</f>
        <v>12.5</v>
      </c>
      <c r="G48" s="25">
        <f>N$15/F48</f>
        <v>1056.8399483273197</v>
      </c>
    </row>
    <row r="49" spans="4:7" x14ac:dyDescent="0.25">
      <c r="D49" s="2" t="s">
        <v>7</v>
      </c>
      <c r="E49" s="2">
        <v>40</v>
      </c>
      <c r="F49" s="2">
        <f>N$5/E49</f>
        <v>12.5</v>
      </c>
      <c r="G49" s="25">
        <f>N$15/F49</f>
        <v>1056.8399483273197</v>
      </c>
    </row>
    <row r="50" spans="4:7" x14ac:dyDescent="0.25">
      <c r="D50" s="2" t="s">
        <v>8</v>
      </c>
      <c r="E50" s="2">
        <v>40</v>
      </c>
      <c r="F50" s="2">
        <f>N$5/E50</f>
        <v>12.5</v>
      </c>
      <c r="G50" s="25">
        <f>N$15/F50</f>
        <v>1056.8399483273197</v>
      </c>
    </row>
    <row r="52" spans="4:7" x14ac:dyDescent="0.25">
      <c r="D52" s="45" t="s">
        <v>11</v>
      </c>
      <c r="E52" s="45"/>
      <c r="F52" s="45"/>
      <c r="G52" s="45"/>
    </row>
    <row r="53" spans="4:7" x14ac:dyDescent="0.25">
      <c r="D53" s="5" t="s">
        <v>1</v>
      </c>
      <c r="E53" s="5" t="s">
        <v>2</v>
      </c>
      <c r="F53" s="5" t="s">
        <v>9</v>
      </c>
      <c r="G53" s="14" t="s">
        <v>10</v>
      </c>
    </row>
    <row r="54" spans="4:7" x14ac:dyDescent="0.25">
      <c r="D54" s="2" t="s">
        <v>176</v>
      </c>
      <c r="E54" s="2">
        <v>48</v>
      </c>
      <c r="F54" s="6">
        <f t="shared" ref="F54:F59" si="2">N$5/E54</f>
        <v>10.416666666666666</v>
      </c>
      <c r="G54" s="25">
        <f t="shared" ref="G54:G59" si="3">N$15/F54</f>
        <v>1268.2079379927836</v>
      </c>
    </row>
    <row r="55" spans="4:7" x14ac:dyDescent="0.25">
      <c r="D55" s="2" t="s">
        <v>12</v>
      </c>
      <c r="E55" s="2">
        <v>51</v>
      </c>
      <c r="F55" s="6">
        <f t="shared" si="2"/>
        <v>9.8039215686274517</v>
      </c>
      <c r="G55" s="25">
        <f t="shared" si="3"/>
        <v>1347.4709341173323</v>
      </c>
    </row>
    <row r="56" spans="4:7" x14ac:dyDescent="0.25">
      <c r="D56" s="2" t="s">
        <v>13</v>
      </c>
      <c r="E56" s="2">
        <v>51</v>
      </c>
      <c r="F56" s="6">
        <f t="shared" si="2"/>
        <v>9.8039215686274517</v>
      </c>
      <c r="G56" s="25">
        <f t="shared" si="3"/>
        <v>1347.4709341173323</v>
      </c>
    </row>
    <row r="57" spans="4:7" x14ac:dyDescent="0.25">
      <c r="D57" s="2" t="s">
        <v>14</v>
      </c>
      <c r="E57" s="2">
        <v>51</v>
      </c>
      <c r="F57" s="6">
        <f t="shared" si="2"/>
        <v>9.8039215686274517</v>
      </c>
      <c r="G57" s="25">
        <f t="shared" si="3"/>
        <v>1347.4709341173323</v>
      </c>
    </row>
    <row r="58" spans="4:7" x14ac:dyDescent="0.25">
      <c r="D58" s="2" t="s">
        <v>20</v>
      </c>
      <c r="E58" s="2">
        <v>51</v>
      </c>
      <c r="F58" s="6">
        <f t="shared" si="2"/>
        <v>9.8039215686274517</v>
      </c>
      <c r="G58" s="25">
        <f t="shared" si="3"/>
        <v>1347.4709341173323</v>
      </c>
    </row>
    <row r="59" spans="4:7" x14ac:dyDescent="0.25">
      <c r="D59" s="2" t="s">
        <v>21</v>
      </c>
      <c r="E59" s="2">
        <v>51</v>
      </c>
      <c r="F59" s="6">
        <f t="shared" si="2"/>
        <v>9.8039215686274517</v>
      </c>
      <c r="G59" s="25">
        <f t="shared" si="3"/>
        <v>1347.4709341173323</v>
      </c>
    </row>
    <row r="61" spans="4:7" x14ac:dyDescent="0.25">
      <c r="D61" s="45" t="s">
        <v>22</v>
      </c>
      <c r="E61" s="45"/>
      <c r="F61" s="45"/>
      <c r="G61" s="45"/>
    </row>
    <row r="62" spans="4:7" x14ac:dyDescent="0.25">
      <c r="D62" s="5" t="s">
        <v>1</v>
      </c>
      <c r="E62" s="5" t="s">
        <v>2</v>
      </c>
      <c r="F62" s="5" t="s">
        <v>9</v>
      </c>
      <c r="G62" s="14" t="s">
        <v>10</v>
      </c>
    </row>
    <row r="63" spans="4:7" x14ac:dyDescent="0.25">
      <c r="D63" s="2" t="s">
        <v>174</v>
      </c>
      <c r="E63" s="2">
        <v>61</v>
      </c>
      <c r="F63" s="6">
        <f t="shared" ref="F63:F69" si="4">N$5/E63</f>
        <v>8.1967213114754092</v>
      </c>
      <c r="G63" s="25">
        <f t="shared" ref="G63:G69" si="5">N$15/F63</f>
        <v>1611.6809211991624</v>
      </c>
    </row>
    <row r="64" spans="4:7" x14ac:dyDescent="0.25">
      <c r="D64" s="2" t="s">
        <v>23</v>
      </c>
      <c r="E64" s="2">
        <v>67</v>
      </c>
      <c r="F64" s="6">
        <f t="shared" si="4"/>
        <v>7.4626865671641793</v>
      </c>
      <c r="G64" s="25">
        <f t="shared" si="5"/>
        <v>1770.2069134482601</v>
      </c>
    </row>
    <row r="65" spans="4:7" x14ac:dyDescent="0.25">
      <c r="D65" s="2" t="s">
        <v>24</v>
      </c>
      <c r="E65" s="2">
        <v>67</v>
      </c>
      <c r="F65" s="6">
        <f t="shared" si="4"/>
        <v>7.4626865671641793</v>
      </c>
      <c r="G65" s="25">
        <f t="shared" si="5"/>
        <v>1770.2069134482601</v>
      </c>
    </row>
    <row r="66" spans="4:7" x14ac:dyDescent="0.25">
      <c r="D66" s="2" t="s">
        <v>25</v>
      </c>
      <c r="E66" s="2">
        <v>67</v>
      </c>
      <c r="F66" s="6">
        <f t="shared" si="4"/>
        <v>7.4626865671641793</v>
      </c>
      <c r="G66" s="25">
        <f t="shared" si="5"/>
        <v>1770.2069134482601</v>
      </c>
    </row>
    <row r="67" spans="4:7" x14ac:dyDescent="0.25">
      <c r="D67" s="2" t="s">
        <v>26</v>
      </c>
      <c r="E67" s="2">
        <v>67</v>
      </c>
      <c r="F67" s="6">
        <f t="shared" si="4"/>
        <v>7.4626865671641793</v>
      </c>
      <c r="G67" s="25">
        <f t="shared" si="5"/>
        <v>1770.2069134482601</v>
      </c>
    </row>
    <row r="68" spans="4:7" x14ac:dyDescent="0.25">
      <c r="D68" s="2" t="s">
        <v>27</v>
      </c>
      <c r="E68" s="2">
        <v>67</v>
      </c>
      <c r="F68" s="6">
        <f t="shared" si="4"/>
        <v>7.4626865671641793</v>
      </c>
      <c r="G68" s="25">
        <f t="shared" si="5"/>
        <v>1770.2069134482601</v>
      </c>
    </row>
    <row r="69" spans="4:7" x14ac:dyDescent="0.25">
      <c r="D69" s="2" t="s">
        <v>28</v>
      </c>
      <c r="E69" s="2">
        <v>69</v>
      </c>
      <c r="F69" s="6">
        <f t="shared" si="4"/>
        <v>7.2463768115942031</v>
      </c>
      <c r="G69" s="25">
        <f t="shared" si="5"/>
        <v>1823.0489108646261</v>
      </c>
    </row>
    <row r="71" spans="4:7" x14ac:dyDescent="0.25">
      <c r="D71" s="45" t="s">
        <v>29</v>
      </c>
      <c r="E71" s="45"/>
      <c r="F71" s="45"/>
      <c r="G71" s="45"/>
    </row>
    <row r="72" spans="4:7" x14ac:dyDescent="0.25">
      <c r="D72" s="5" t="s">
        <v>1</v>
      </c>
      <c r="E72" s="5" t="s">
        <v>2</v>
      </c>
      <c r="F72" s="5" t="s">
        <v>9</v>
      </c>
      <c r="G72" s="14" t="s">
        <v>10</v>
      </c>
    </row>
    <row r="73" spans="4:7" x14ac:dyDescent="0.25">
      <c r="D73" s="2" t="s">
        <v>30</v>
      </c>
      <c r="E73" s="2">
        <v>75</v>
      </c>
      <c r="F73" s="6">
        <f t="shared" ref="F73:F78" si="6">N$5/E73</f>
        <v>6.666666666666667</v>
      </c>
      <c r="G73" s="25">
        <f t="shared" ref="G73:G78" si="7">N$15/F73</f>
        <v>1981.5749031137241</v>
      </c>
    </row>
    <row r="74" spans="4:7" x14ac:dyDescent="0.25">
      <c r="D74" s="2" t="s">
        <v>31</v>
      </c>
      <c r="E74" s="2">
        <v>75</v>
      </c>
      <c r="F74" s="6">
        <f t="shared" si="6"/>
        <v>6.666666666666667</v>
      </c>
      <c r="G74" s="25">
        <f t="shared" si="7"/>
        <v>1981.5749031137241</v>
      </c>
    </row>
    <row r="75" spans="4:7" x14ac:dyDescent="0.25">
      <c r="D75" s="2" t="s">
        <v>32</v>
      </c>
      <c r="E75" s="2">
        <v>75</v>
      </c>
      <c r="F75" s="6">
        <f t="shared" si="6"/>
        <v>6.666666666666667</v>
      </c>
      <c r="G75" s="25">
        <f t="shared" si="7"/>
        <v>1981.5749031137241</v>
      </c>
    </row>
    <row r="76" spans="4:7" x14ac:dyDescent="0.25">
      <c r="D76" s="2" t="s">
        <v>33</v>
      </c>
      <c r="E76" s="2">
        <v>75</v>
      </c>
      <c r="F76" s="6">
        <f t="shared" si="6"/>
        <v>6.666666666666667</v>
      </c>
      <c r="G76" s="25">
        <f t="shared" si="7"/>
        <v>1981.5749031137241</v>
      </c>
    </row>
    <row r="77" spans="4:7" x14ac:dyDescent="0.25">
      <c r="D77" s="2" t="s">
        <v>34</v>
      </c>
      <c r="E77" s="2">
        <v>75</v>
      </c>
      <c r="F77" s="6">
        <f t="shared" si="6"/>
        <v>6.666666666666667</v>
      </c>
      <c r="G77" s="25">
        <f t="shared" si="7"/>
        <v>1981.5749031137241</v>
      </c>
    </row>
    <row r="78" spans="4:7" x14ac:dyDescent="0.25">
      <c r="D78" s="2" t="s">
        <v>35</v>
      </c>
      <c r="E78" s="2">
        <v>75</v>
      </c>
      <c r="F78" s="6">
        <f t="shared" si="6"/>
        <v>6.666666666666667</v>
      </c>
      <c r="G78" s="25">
        <f t="shared" si="7"/>
        <v>1981.5749031137241</v>
      </c>
    </row>
    <row r="80" spans="4:7" x14ac:dyDescent="0.25">
      <c r="D80" s="45" t="s">
        <v>84</v>
      </c>
      <c r="E80" s="45"/>
      <c r="F80" s="45"/>
      <c r="G80" s="45"/>
    </row>
    <row r="81" spans="4:7" x14ac:dyDescent="0.25">
      <c r="D81" s="5" t="s">
        <v>1</v>
      </c>
      <c r="E81" s="5" t="s">
        <v>2</v>
      </c>
      <c r="F81" s="5" t="s">
        <v>9</v>
      </c>
      <c r="G81" s="14" t="s">
        <v>10</v>
      </c>
    </row>
    <row r="82" spans="4:7" x14ac:dyDescent="0.25">
      <c r="D82" s="39" t="s">
        <v>189</v>
      </c>
      <c r="E82" s="40"/>
      <c r="F82" s="40"/>
      <c r="G82" s="41"/>
    </row>
    <row r="83" spans="4:7" x14ac:dyDescent="0.25">
      <c r="D83" s="18" t="s">
        <v>125</v>
      </c>
      <c r="E83" s="18">
        <v>506</v>
      </c>
      <c r="F83" s="19">
        <f t="shared" ref="F83:F94" si="8">N$5/E83</f>
        <v>0.98814229249011853</v>
      </c>
      <c r="G83" s="28">
        <f t="shared" ref="G83:G94" si="9">N$15/F83</f>
        <v>13369.025346340593</v>
      </c>
    </row>
    <row r="84" spans="4:7" x14ac:dyDescent="0.25">
      <c r="D84" s="18" t="s">
        <v>126</v>
      </c>
      <c r="E84" s="18">
        <v>101</v>
      </c>
      <c r="F84" s="19">
        <f t="shared" si="8"/>
        <v>4.9504950495049505</v>
      </c>
      <c r="G84" s="28">
        <f t="shared" si="9"/>
        <v>2668.5208695264819</v>
      </c>
    </row>
    <row r="85" spans="4:7" x14ac:dyDescent="0.25">
      <c r="D85" s="18" t="s">
        <v>128</v>
      </c>
      <c r="E85" s="18">
        <v>101</v>
      </c>
      <c r="F85" s="19">
        <f t="shared" si="8"/>
        <v>4.9504950495049505</v>
      </c>
      <c r="G85" s="28">
        <f t="shared" si="9"/>
        <v>2668.5208695264819</v>
      </c>
    </row>
    <row r="86" spans="4:7" x14ac:dyDescent="0.25">
      <c r="D86" s="18" t="s">
        <v>130</v>
      </c>
      <c r="E86" s="18">
        <v>101</v>
      </c>
      <c r="F86" s="19">
        <f t="shared" si="8"/>
        <v>4.9504950495049505</v>
      </c>
      <c r="G86" s="28">
        <f t="shared" si="9"/>
        <v>2668.5208695264819</v>
      </c>
    </row>
    <row r="87" spans="4:7" x14ac:dyDescent="0.25">
      <c r="D87" s="18" t="s">
        <v>132</v>
      </c>
      <c r="E87" s="18">
        <v>101</v>
      </c>
      <c r="F87" s="19">
        <f t="shared" si="8"/>
        <v>4.9504950495049505</v>
      </c>
      <c r="G87" s="28">
        <f t="shared" si="9"/>
        <v>2668.5208695264819</v>
      </c>
    </row>
    <row r="88" spans="4:7" x14ac:dyDescent="0.25">
      <c r="D88" s="18" t="s">
        <v>134</v>
      </c>
      <c r="E88" s="18">
        <v>101</v>
      </c>
      <c r="F88" s="19">
        <f t="shared" si="8"/>
        <v>4.9504950495049505</v>
      </c>
      <c r="G88" s="28">
        <f t="shared" si="9"/>
        <v>2668.5208695264819</v>
      </c>
    </row>
    <row r="89" spans="4:7" x14ac:dyDescent="0.25">
      <c r="D89" s="18" t="s">
        <v>66</v>
      </c>
      <c r="E89" s="18">
        <v>84</v>
      </c>
      <c r="F89" s="19">
        <f t="shared" si="8"/>
        <v>5.9523809523809526</v>
      </c>
      <c r="G89" s="28">
        <f t="shared" si="9"/>
        <v>2219.3638914873709</v>
      </c>
    </row>
    <row r="90" spans="4:7" x14ac:dyDescent="0.25">
      <c r="D90" s="18" t="s">
        <v>127</v>
      </c>
      <c r="E90" s="18">
        <v>16</v>
      </c>
      <c r="F90" s="19">
        <f t="shared" si="8"/>
        <v>31.25</v>
      </c>
      <c r="G90" s="28">
        <f t="shared" si="9"/>
        <v>422.73597933092782</v>
      </c>
    </row>
    <row r="91" spans="4:7" x14ac:dyDescent="0.25">
      <c r="D91" s="18" t="s">
        <v>129</v>
      </c>
      <c r="E91" s="18">
        <v>16</v>
      </c>
      <c r="F91" s="19">
        <f t="shared" si="8"/>
        <v>31.25</v>
      </c>
      <c r="G91" s="28">
        <f t="shared" si="9"/>
        <v>422.73597933092782</v>
      </c>
    </row>
    <row r="92" spans="4:7" x14ac:dyDescent="0.25">
      <c r="D92" s="18" t="s">
        <v>131</v>
      </c>
      <c r="E92" s="18">
        <v>16</v>
      </c>
      <c r="F92" s="19">
        <f t="shared" si="8"/>
        <v>31.25</v>
      </c>
      <c r="G92" s="28">
        <f t="shared" si="9"/>
        <v>422.73597933092782</v>
      </c>
    </row>
    <row r="93" spans="4:7" x14ac:dyDescent="0.25">
      <c r="D93" s="18" t="s">
        <v>133</v>
      </c>
      <c r="E93" s="18">
        <v>16</v>
      </c>
      <c r="F93" s="19">
        <f t="shared" si="8"/>
        <v>31.25</v>
      </c>
      <c r="G93" s="28">
        <f t="shared" si="9"/>
        <v>422.73597933092782</v>
      </c>
    </row>
    <row r="94" spans="4:7" x14ac:dyDescent="0.25">
      <c r="D94" s="18" t="s">
        <v>135</v>
      </c>
      <c r="E94" s="18">
        <v>16</v>
      </c>
      <c r="F94" s="19">
        <f t="shared" si="8"/>
        <v>31.25</v>
      </c>
      <c r="G94" s="28">
        <f t="shared" si="9"/>
        <v>422.73597933092782</v>
      </c>
    </row>
    <row r="95" spans="4:7" x14ac:dyDescent="0.25">
      <c r="D95" s="42" t="s">
        <v>190</v>
      </c>
      <c r="E95" s="43"/>
      <c r="F95" s="43"/>
      <c r="G95" s="44"/>
    </row>
    <row r="96" spans="4:7" x14ac:dyDescent="0.25">
      <c r="D96" s="10" t="s">
        <v>124</v>
      </c>
      <c r="E96" s="10">
        <v>506</v>
      </c>
      <c r="F96" s="11">
        <f t="shared" ref="F96:F107" si="10">N$5/E96</f>
        <v>0.98814229249011853</v>
      </c>
      <c r="G96" s="29">
        <f t="shared" ref="G96:G107" si="11">N$15/F96</f>
        <v>13369.025346340593</v>
      </c>
    </row>
    <row r="97" spans="4:7" x14ac:dyDescent="0.25">
      <c r="D97" s="10" t="s">
        <v>99</v>
      </c>
      <c r="E97" s="10">
        <v>101</v>
      </c>
      <c r="F97" s="11">
        <f t="shared" si="10"/>
        <v>4.9504950495049505</v>
      </c>
      <c r="G97" s="29">
        <f t="shared" si="11"/>
        <v>2668.5208695264819</v>
      </c>
    </row>
    <row r="98" spans="4:7" x14ac:dyDescent="0.25">
      <c r="D98" s="10" t="s">
        <v>86</v>
      </c>
      <c r="E98" s="10">
        <v>101</v>
      </c>
      <c r="F98" s="11">
        <f t="shared" si="10"/>
        <v>4.9504950495049505</v>
      </c>
      <c r="G98" s="29">
        <f t="shared" si="11"/>
        <v>2668.5208695264819</v>
      </c>
    </row>
    <row r="99" spans="4:7" x14ac:dyDescent="0.25">
      <c r="D99" s="10" t="s">
        <v>94</v>
      </c>
      <c r="E99" s="10">
        <v>101</v>
      </c>
      <c r="F99" s="11">
        <f t="shared" si="10"/>
        <v>4.9504950495049505</v>
      </c>
      <c r="G99" s="29">
        <f t="shared" si="11"/>
        <v>2668.5208695264819</v>
      </c>
    </row>
    <row r="100" spans="4:7" x14ac:dyDescent="0.25">
      <c r="D100" s="10" t="s">
        <v>96</v>
      </c>
      <c r="E100" s="10">
        <v>101</v>
      </c>
      <c r="F100" s="11">
        <f t="shared" si="10"/>
        <v>4.9504950495049505</v>
      </c>
      <c r="G100" s="29">
        <f t="shared" si="11"/>
        <v>2668.5208695264819</v>
      </c>
    </row>
    <row r="101" spans="4:7" x14ac:dyDescent="0.25">
      <c r="D101" s="10" t="s">
        <v>87</v>
      </c>
      <c r="E101" s="10">
        <v>101</v>
      </c>
      <c r="F101" s="11">
        <f t="shared" si="10"/>
        <v>4.9504950495049505</v>
      </c>
      <c r="G101" s="29">
        <f t="shared" si="11"/>
        <v>2668.5208695264819</v>
      </c>
    </row>
    <row r="102" spans="4:7" x14ac:dyDescent="0.25">
      <c r="D102" s="10" t="s">
        <v>123</v>
      </c>
      <c r="E102" s="10">
        <v>84</v>
      </c>
      <c r="F102" s="11">
        <f t="shared" si="10"/>
        <v>5.9523809523809526</v>
      </c>
      <c r="G102" s="29">
        <f t="shared" si="11"/>
        <v>2219.3638914873709</v>
      </c>
    </row>
    <row r="103" spans="4:7" x14ac:dyDescent="0.25">
      <c r="D103" s="10" t="s">
        <v>98</v>
      </c>
      <c r="E103" s="10">
        <v>16.8</v>
      </c>
      <c r="F103" s="11">
        <f t="shared" si="10"/>
        <v>29.761904761904759</v>
      </c>
      <c r="G103" s="29">
        <f t="shared" si="11"/>
        <v>443.87277829747427</v>
      </c>
    </row>
    <row r="104" spans="4:7" x14ac:dyDescent="0.25">
      <c r="D104" s="10" t="s">
        <v>92</v>
      </c>
      <c r="E104" s="10">
        <v>16.8</v>
      </c>
      <c r="F104" s="11">
        <f t="shared" si="10"/>
        <v>29.761904761904759</v>
      </c>
      <c r="G104" s="29">
        <f t="shared" si="11"/>
        <v>443.87277829747427</v>
      </c>
    </row>
    <row r="105" spans="4:7" x14ac:dyDescent="0.25">
      <c r="D105" s="10" t="s">
        <v>93</v>
      </c>
      <c r="E105" s="10">
        <v>16.8</v>
      </c>
      <c r="F105" s="11">
        <f t="shared" si="10"/>
        <v>29.761904761904759</v>
      </c>
      <c r="G105" s="29">
        <f t="shared" si="11"/>
        <v>443.87277829747427</v>
      </c>
    </row>
    <row r="106" spans="4:7" x14ac:dyDescent="0.25">
      <c r="D106" s="10" t="s">
        <v>95</v>
      </c>
      <c r="E106" s="10">
        <v>16.8</v>
      </c>
      <c r="F106" s="11">
        <f t="shared" si="10"/>
        <v>29.761904761904759</v>
      </c>
      <c r="G106" s="29">
        <f t="shared" si="11"/>
        <v>443.87277829747427</v>
      </c>
    </row>
    <row r="107" spans="4:7" x14ac:dyDescent="0.25">
      <c r="D107" s="10" t="s">
        <v>97</v>
      </c>
      <c r="E107" s="10">
        <v>16.8</v>
      </c>
      <c r="F107" s="11">
        <f t="shared" si="10"/>
        <v>29.761904761904759</v>
      </c>
      <c r="G107" s="29">
        <f t="shared" si="11"/>
        <v>443.87277829747427</v>
      </c>
    </row>
    <row r="108" spans="4:7" x14ac:dyDescent="0.25">
      <c r="D108" s="49" t="s">
        <v>191</v>
      </c>
      <c r="E108" s="50"/>
      <c r="F108" s="50"/>
      <c r="G108" s="51"/>
    </row>
    <row r="109" spans="4:7" x14ac:dyDescent="0.25">
      <c r="D109" s="16" t="s">
        <v>119</v>
      </c>
      <c r="E109" s="16">
        <v>506</v>
      </c>
      <c r="F109" s="17">
        <f t="shared" ref="F109:F120" si="12">N$5/E109</f>
        <v>0.98814229249011853</v>
      </c>
      <c r="G109" s="30">
        <f t="shared" ref="G109:G120" si="13">N$15/F109</f>
        <v>13369.025346340593</v>
      </c>
    </row>
    <row r="110" spans="4:7" x14ac:dyDescent="0.25">
      <c r="D110" s="16" t="s">
        <v>120</v>
      </c>
      <c r="E110" s="16">
        <v>101</v>
      </c>
      <c r="F110" s="17">
        <f t="shared" si="12"/>
        <v>4.9504950495049505</v>
      </c>
      <c r="G110" s="30">
        <f t="shared" si="13"/>
        <v>2668.5208695264819</v>
      </c>
    </row>
    <row r="111" spans="4:7" x14ac:dyDescent="0.25">
      <c r="D111" s="16" t="s">
        <v>114</v>
      </c>
      <c r="E111" s="16">
        <v>101</v>
      </c>
      <c r="F111" s="17">
        <f t="shared" si="12"/>
        <v>4.9504950495049505</v>
      </c>
      <c r="G111" s="30">
        <f t="shared" si="13"/>
        <v>2668.5208695264819</v>
      </c>
    </row>
    <row r="112" spans="4:7" x14ac:dyDescent="0.25">
      <c r="D112" s="16" t="s">
        <v>115</v>
      </c>
      <c r="E112" s="16">
        <v>101</v>
      </c>
      <c r="F112" s="17">
        <f t="shared" si="12"/>
        <v>4.9504950495049505</v>
      </c>
      <c r="G112" s="30">
        <f t="shared" si="13"/>
        <v>2668.5208695264819</v>
      </c>
    </row>
    <row r="113" spans="4:7" x14ac:dyDescent="0.25">
      <c r="D113" s="16" t="s">
        <v>117</v>
      </c>
      <c r="E113" s="16">
        <v>101</v>
      </c>
      <c r="F113" s="17">
        <f t="shared" si="12"/>
        <v>4.9504950495049505</v>
      </c>
      <c r="G113" s="30">
        <f t="shared" si="13"/>
        <v>2668.5208695264819</v>
      </c>
    </row>
    <row r="114" spans="4:7" x14ac:dyDescent="0.25">
      <c r="D114" s="16" t="s">
        <v>121</v>
      </c>
      <c r="E114" s="16">
        <v>101</v>
      </c>
      <c r="F114" s="17">
        <f t="shared" si="12"/>
        <v>4.9504950495049505</v>
      </c>
      <c r="G114" s="30">
        <f t="shared" si="13"/>
        <v>2668.5208695264819</v>
      </c>
    </row>
    <row r="115" spans="4:7" x14ac:dyDescent="0.25">
      <c r="D115" s="16" t="s">
        <v>109</v>
      </c>
      <c r="E115" s="16">
        <v>84</v>
      </c>
      <c r="F115" s="17">
        <f t="shared" si="12"/>
        <v>5.9523809523809526</v>
      </c>
      <c r="G115" s="30">
        <f t="shared" si="13"/>
        <v>2219.3638914873709</v>
      </c>
    </row>
    <row r="116" spans="4:7" x14ac:dyDescent="0.25">
      <c r="D116" s="16" t="s">
        <v>88</v>
      </c>
      <c r="E116" s="16">
        <v>16.8</v>
      </c>
      <c r="F116" s="17">
        <f t="shared" si="12"/>
        <v>29.761904761904759</v>
      </c>
      <c r="G116" s="30">
        <f t="shared" si="13"/>
        <v>443.87277829747427</v>
      </c>
    </row>
    <row r="117" spans="4:7" x14ac:dyDescent="0.25">
      <c r="D117" s="16" t="s">
        <v>113</v>
      </c>
      <c r="E117" s="16">
        <v>16</v>
      </c>
      <c r="F117" s="17">
        <f t="shared" si="12"/>
        <v>31.25</v>
      </c>
      <c r="G117" s="30">
        <f t="shared" si="13"/>
        <v>422.73597933092782</v>
      </c>
    </row>
    <row r="118" spans="4:7" x14ac:dyDescent="0.25">
      <c r="D118" s="16" t="s">
        <v>116</v>
      </c>
      <c r="E118" s="16">
        <v>16</v>
      </c>
      <c r="F118" s="17">
        <f t="shared" si="12"/>
        <v>31.25</v>
      </c>
      <c r="G118" s="30">
        <f t="shared" si="13"/>
        <v>422.73597933092782</v>
      </c>
    </row>
    <row r="119" spans="4:7" x14ac:dyDescent="0.25">
      <c r="D119" s="16" t="s">
        <v>118</v>
      </c>
      <c r="E119" s="16">
        <v>16</v>
      </c>
      <c r="F119" s="17">
        <f t="shared" si="12"/>
        <v>31.25</v>
      </c>
      <c r="G119" s="30">
        <f t="shared" si="13"/>
        <v>422.73597933092782</v>
      </c>
    </row>
    <row r="120" spans="4:7" x14ac:dyDescent="0.25">
      <c r="D120" s="16" t="s">
        <v>122</v>
      </c>
      <c r="E120" s="16">
        <v>16</v>
      </c>
      <c r="F120" s="17">
        <f t="shared" si="12"/>
        <v>31.25</v>
      </c>
      <c r="G120" s="30">
        <f t="shared" si="13"/>
        <v>422.73597933092782</v>
      </c>
    </row>
    <row r="121" spans="4:7" x14ac:dyDescent="0.25">
      <c r="D121" s="46" t="s">
        <v>192</v>
      </c>
      <c r="E121" s="47"/>
      <c r="F121" s="47"/>
      <c r="G121" s="48"/>
    </row>
    <row r="122" spans="4:7" x14ac:dyDescent="0.25">
      <c r="D122" s="23" t="s">
        <v>188</v>
      </c>
      <c r="E122" s="23">
        <v>506</v>
      </c>
      <c r="F122" s="24">
        <f t="shared" ref="F122:F133" si="14">N$5/E122</f>
        <v>0.98814229249011853</v>
      </c>
      <c r="G122" s="14">
        <f t="shared" ref="G122:G133" si="15">N$15/F122</f>
        <v>13369.025346340593</v>
      </c>
    </row>
    <row r="123" spans="4:7" x14ac:dyDescent="0.25">
      <c r="D123" s="23" t="s">
        <v>164</v>
      </c>
      <c r="E123" s="23">
        <v>101</v>
      </c>
      <c r="F123" s="24">
        <f t="shared" si="14"/>
        <v>4.9504950495049505</v>
      </c>
      <c r="G123" s="14">
        <f t="shared" si="15"/>
        <v>2668.5208695264819</v>
      </c>
    </row>
    <row r="124" spans="4:7" x14ac:dyDescent="0.25">
      <c r="D124" s="23" t="s">
        <v>166</v>
      </c>
      <c r="E124" s="23">
        <v>101</v>
      </c>
      <c r="F124" s="24">
        <f t="shared" si="14"/>
        <v>4.9504950495049505</v>
      </c>
      <c r="G124" s="14">
        <f t="shared" si="15"/>
        <v>2668.5208695264819</v>
      </c>
    </row>
    <row r="125" spans="4:7" x14ac:dyDescent="0.25">
      <c r="D125" s="23" t="s">
        <v>167</v>
      </c>
      <c r="E125" s="23">
        <v>101</v>
      </c>
      <c r="F125" s="24">
        <f t="shared" si="14"/>
        <v>4.9504950495049505</v>
      </c>
      <c r="G125" s="14">
        <f t="shared" si="15"/>
        <v>2668.5208695264819</v>
      </c>
    </row>
    <row r="126" spans="4:7" x14ac:dyDescent="0.25">
      <c r="D126" s="23" t="s">
        <v>169</v>
      </c>
      <c r="E126" s="23">
        <v>101</v>
      </c>
      <c r="F126" s="24">
        <f t="shared" si="14"/>
        <v>4.9504950495049505</v>
      </c>
      <c r="G126" s="14">
        <f t="shared" si="15"/>
        <v>2668.5208695264819</v>
      </c>
    </row>
    <row r="127" spans="4:7" x14ac:dyDescent="0.25">
      <c r="D127" s="23" t="s">
        <v>170</v>
      </c>
      <c r="E127" s="23">
        <v>101</v>
      </c>
      <c r="F127" s="24">
        <f t="shared" si="14"/>
        <v>4.9504950495049505</v>
      </c>
      <c r="G127" s="14">
        <f t="shared" si="15"/>
        <v>2668.5208695264819</v>
      </c>
    </row>
    <row r="128" spans="4:7" x14ac:dyDescent="0.25">
      <c r="D128" s="23" t="s">
        <v>172</v>
      </c>
      <c r="E128" s="23">
        <v>84</v>
      </c>
      <c r="F128" s="24">
        <f t="shared" si="14"/>
        <v>5.9523809523809526</v>
      </c>
      <c r="G128" s="14">
        <f t="shared" si="15"/>
        <v>2219.3638914873709</v>
      </c>
    </row>
    <row r="129" spans="4:7" x14ac:dyDescent="0.25">
      <c r="D129" s="23" t="s">
        <v>163</v>
      </c>
      <c r="E129" s="23">
        <v>16</v>
      </c>
      <c r="F129" s="24">
        <f t="shared" si="14"/>
        <v>31.25</v>
      </c>
      <c r="G129" s="14">
        <f t="shared" si="15"/>
        <v>422.73597933092782</v>
      </c>
    </row>
    <row r="130" spans="4:7" x14ac:dyDescent="0.25">
      <c r="D130" s="23" t="s">
        <v>165</v>
      </c>
      <c r="E130" s="23">
        <v>16</v>
      </c>
      <c r="F130" s="24">
        <f t="shared" si="14"/>
        <v>31.25</v>
      </c>
      <c r="G130" s="14">
        <f t="shared" si="15"/>
        <v>422.73597933092782</v>
      </c>
    </row>
    <row r="131" spans="4:7" x14ac:dyDescent="0.25">
      <c r="D131" s="23" t="s">
        <v>173</v>
      </c>
      <c r="E131" s="23">
        <v>16</v>
      </c>
      <c r="F131" s="24">
        <f t="shared" si="14"/>
        <v>31.25</v>
      </c>
      <c r="G131" s="14">
        <f t="shared" si="15"/>
        <v>422.73597933092782</v>
      </c>
    </row>
    <row r="132" spans="4:7" x14ac:dyDescent="0.25">
      <c r="D132" s="23" t="s">
        <v>168</v>
      </c>
      <c r="E132" s="23">
        <v>16</v>
      </c>
      <c r="F132" s="24">
        <f t="shared" si="14"/>
        <v>31.25</v>
      </c>
      <c r="G132" s="14">
        <f t="shared" si="15"/>
        <v>422.73597933092782</v>
      </c>
    </row>
    <row r="133" spans="4:7" x14ac:dyDescent="0.25">
      <c r="D133" s="23" t="s">
        <v>171</v>
      </c>
      <c r="E133" s="23">
        <v>16</v>
      </c>
      <c r="F133" s="24">
        <f t="shared" si="14"/>
        <v>31.25</v>
      </c>
      <c r="G133" s="14">
        <f t="shared" si="15"/>
        <v>422.73597933092782</v>
      </c>
    </row>
    <row r="134" spans="4:7" x14ac:dyDescent="0.25">
      <c r="D134" s="27"/>
      <c r="E134" s="2"/>
      <c r="F134" s="6"/>
      <c r="G134" s="22"/>
    </row>
    <row r="135" spans="4:7" x14ac:dyDescent="0.25">
      <c r="D135" s="45" t="s">
        <v>77</v>
      </c>
      <c r="E135" s="45"/>
      <c r="F135" s="45"/>
      <c r="G135" s="45"/>
    </row>
    <row r="136" spans="4:7" x14ac:dyDescent="0.25">
      <c r="D136" s="2" t="s">
        <v>67</v>
      </c>
      <c r="E136" s="2">
        <v>10</v>
      </c>
      <c r="F136" s="6">
        <f t="shared" ref="F136:F149" si="16">N$5/E136</f>
        <v>50</v>
      </c>
      <c r="G136" s="25">
        <f t="shared" ref="G136:G149" si="17">N$15/F136</f>
        <v>264.20998708182992</v>
      </c>
    </row>
    <row r="137" spans="4:7" x14ac:dyDescent="0.25">
      <c r="D137" s="2" t="s">
        <v>68</v>
      </c>
      <c r="E137" s="2">
        <v>10</v>
      </c>
      <c r="F137" s="6">
        <f t="shared" si="16"/>
        <v>50</v>
      </c>
      <c r="G137" s="25">
        <f t="shared" si="17"/>
        <v>264.20998708182992</v>
      </c>
    </row>
    <row r="138" spans="4:7" x14ac:dyDescent="0.25">
      <c r="D138" s="2" t="s">
        <v>69</v>
      </c>
      <c r="E138" s="2">
        <v>10</v>
      </c>
      <c r="F138" s="6">
        <f t="shared" si="16"/>
        <v>50</v>
      </c>
      <c r="G138" s="25">
        <f t="shared" si="17"/>
        <v>264.20998708182992</v>
      </c>
    </row>
    <row r="139" spans="4:7" x14ac:dyDescent="0.25">
      <c r="D139" s="2" t="s">
        <v>70</v>
      </c>
      <c r="E139" s="2">
        <v>10</v>
      </c>
      <c r="F139" s="6">
        <f t="shared" si="16"/>
        <v>50</v>
      </c>
      <c r="G139" s="25">
        <f t="shared" si="17"/>
        <v>264.20998708182992</v>
      </c>
    </row>
    <row r="140" spans="4:7" x14ac:dyDescent="0.25">
      <c r="D140" s="2" t="s">
        <v>71</v>
      </c>
      <c r="E140" s="2">
        <v>10</v>
      </c>
      <c r="F140" s="6">
        <f t="shared" si="16"/>
        <v>50</v>
      </c>
      <c r="G140" s="25">
        <f t="shared" si="17"/>
        <v>264.20998708182992</v>
      </c>
    </row>
    <row r="141" spans="4:7" x14ac:dyDescent="0.25">
      <c r="D141" s="2" t="s">
        <v>89</v>
      </c>
      <c r="E141" s="2">
        <v>101</v>
      </c>
      <c r="F141" s="6">
        <f t="shared" si="16"/>
        <v>4.9504950495049505</v>
      </c>
      <c r="G141" s="25">
        <f t="shared" si="17"/>
        <v>2668.5208695264819</v>
      </c>
    </row>
    <row r="142" spans="4:7" x14ac:dyDescent="0.25">
      <c r="D142" s="2" t="s">
        <v>90</v>
      </c>
      <c r="E142" s="2">
        <v>101</v>
      </c>
      <c r="F142" s="6">
        <f t="shared" si="16"/>
        <v>4.9504950495049505</v>
      </c>
      <c r="G142" s="25">
        <f t="shared" si="17"/>
        <v>2668.5208695264819</v>
      </c>
    </row>
    <row r="143" spans="4:7" x14ac:dyDescent="0.25">
      <c r="D143" s="2" t="s">
        <v>91</v>
      </c>
      <c r="E143" s="2">
        <v>111</v>
      </c>
      <c r="F143" s="6">
        <f t="shared" si="16"/>
        <v>4.5045045045045047</v>
      </c>
      <c r="G143" s="25">
        <f t="shared" si="17"/>
        <v>2932.7308566083116</v>
      </c>
    </row>
    <row r="144" spans="4:7" x14ac:dyDescent="0.25">
      <c r="D144" s="2" t="s">
        <v>78</v>
      </c>
      <c r="E144" s="2">
        <v>640</v>
      </c>
      <c r="F144" s="2">
        <f t="shared" si="16"/>
        <v>0.78125</v>
      </c>
      <c r="G144" s="25">
        <f t="shared" si="17"/>
        <v>16909.439173237115</v>
      </c>
    </row>
    <row r="145" spans="4:7" x14ac:dyDescent="0.25">
      <c r="D145" s="2" t="s">
        <v>79</v>
      </c>
      <c r="E145" s="2">
        <v>640</v>
      </c>
      <c r="F145" s="2">
        <f t="shared" si="16"/>
        <v>0.78125</v>
      </c>
      <c r="G145" s="25">
        <f t="shared" si="17"/>
        <v>16909.439173237115</v>
      </c>
    </row>
    <row r="146" spans="4:7" x14ac:dyDescent="0.25">
      <c r="D146" s="2" t="s">
        <v>80</v>
      </c>
      <c r="E146" s="2">
        <v>640</v>
      </c>
      <c r="F146" s="2">
        <f t="shared" si="16"/>
        <v>0.78125</v>
      </c>
      <c r="G146" s="25">
        <f t="shared" si="17"/>
        <v>16909.439173237115</v>
      </c>
    </row>
    <row r="147" spans="4:7" x14ac:dyDescent="0.25">
      <c r="D147" s="2" t="s">
        <v>81</v>
      </c>
      <c r="E147" s="2">
        <v>640</v>
      </c>
      <c r="F147" s="2">
        <f t="shared" si="16"/>
        <v>0.78125</v>
      </c>
      <c r="G147" s="25">
        <f t="shared" si="17"/>
        <v>16909.439173237115</v>
      </c>
    </row>
    <row r="148" spans="4:7" x14ac:dyDescent="0.25">
      <c r="D148" s="2" t="s">
        <v>83</v>
      </c>
      <c r="E148" s="2">
        <v>640</v>
      </c>
      <c r="F148" s="2">
        <f t="shared" si="16"/>
        <v>0.78125</v>
      </c>
      <c r="G148" s="25">
        <f t="shared" si="17"/>
        <v>16909.439173237115</v>
      </c>
    </row>
    <row r="149" spans="4:7" x14ac:dyDescent="0.25">
      <c r="D149" s="2" t="s">
        <v>82</v>
      </c>
      <c r="E149" s="2">
        <v>640</v>
      </c>
      <c r="F149" s="2">
        <f t="shared" si="16"/>
        <v>0.78125</v>
      </c>
      <c r="G149" s="25">
        <f t="shared" si="17"/>
        <v>16909.439173237115</v>
      </c>
    </row>
    <row r="151" spans="4:7" x14ac:dyDescent="0.25">
      <c r="D151" s="45" t="s">
        <v>100</v>
      </c>
      <c r="E151" s="45"/>
      <c r="F151" s="45"/>
      <c r="G151" s="45"/>
    </row>
    <row r="152" spans="4:7" x14ac:dyDescent="0.25">
      <c r="D152" s="5" t="s">
        <v>1</v>
      </c>
      <c r="E152" s="5" t="s">
        <v>2</v>
      </c>
      <c r="F152" s="5" t="s">
        <v>9</v>
      </c>
      <c r="G152" s="14" t="s">
        <v>10</v>
      </c>
    </row>
    <row r="153" spans="4:7" x14ac:dyDescent="0.25">
      <c r="D153" s="2" t="s">
        <v>112</v>
      </c>
      <c r="E153" s="2">
        <v>75</v>
      </c>
      <c r="F153" s="6">
        <f>N$5/E153</f>
        <v>6.666666666666667</v>
      </c>
      <c r="G153" s="25">
        <f>N$15/F153</f>
        <v>1981.5749031137241</v>
      </c>
    </row>
    <row r="155" spans="4:7" x14ac:dyDescent="0.25">
      <c r="D155" s="45" t="s">
        <v>101</v>
      </c>
      <c r="E155" s="45"/>
      <c r="F155" s="45"/>
      <c r="G155" s="45"/>
    </row>
    <row r="156" spans="4:7" x14ac:dyDescent="0.25">
      <c r="D156" s="2" t="s">
        <v>102</v>
      </c>
      <c r="E156" s="2">
        <v>84</v>
      </c>
      <c r="F156" s="6">
        <f t="shared" ref="F156:F162" si="18">N$5/E156</f>
        <v>5.9523809523809526</v>
      </c>
      <c r="G156" s="25">
        <f t="shared" ref="G156:G162" si="19">N$15/F156</f>
        <v>2219.3638914873709</v>
      </c>
    </row>
    <row r="157" spans="4:7" x14ac:dyDescent="0.25">
      <c r="D157" s="2" t="s">
        <v>103</v>
      </c>
      <c r="E157" s="2">
        <v>16.8</v>
      </c>
      <c r="F157" s="6">
        <f t="shared" si="18"/>
        <v>29.761904761904759</v>
      </c>
      <c r="G157" s="25">
        <f t="shared" si="19"/>
        <v>443.87277829747427</v>
      </c>
    </row>
    <row r="158" spans="4:7" x14ac:dyDescent="0.25">
      <c r="D158" s="2" t="s">
        <v>104</v>
      </c>
      <c r="E158" s="2">
        <v>24</v>
      </c>
      <c r="F158" s="6">
        <f t="shared" si="18"/>
        <v>20.833333333333332</v>
      </c>
      <c r="G158" s="25">
        <f t="shared" si="19"/>
        <v>634.10396899639181</v>
      </c>
    </row>
    <row r="159" spans="4:7" x14ac:dyDescent="0.25">
      <c r="D159" s="2" t="s">
        <v>105</v>
      </c>
      <c r="E159" s="2">
        <v>16.8</v>
      </c>
      <c r="F159" s="6">
        <f t="shared" si="18"/>
        <v>29.761904761904759</v>
      </c>
      <c r="G159" s="25">
        <f t="shared" si="19"/>
        <v>443.87277829747427</v>
      </c>
    </row>
    <row r="160" spans="4:7" x14ac:dyDescent="0.25">
      <c r="D160" s="2" t="s">
        <v>106</v>
      </c>
      <c r="E160" s="2">
        <v>16.8</v>
      </c>
      <c r="F160" s="6">
        <f t="shared" si="18"/>
        <v>29.761904761904759</v>
      </c>
      <c r="G160" s="25">
        <f t="shared" si="19"/>
        <v>443.87277829747427</v>
      </c>
    </row>
    <row r="161" spans="4:7" x14ac:dyDescent="0.25">
      <c r="D161" s="2" t="s">
        <v>107</v>
      </c>
      <c r="E161" s="2">
        <v>17.8</v>
      </c>
      <c r="F161" s="6">
        <f t="shared" si="18"/>
        <v>28.089887640449437</v>
      </c>
      <c r="G161" s="25">
        <f t="shared" si="19"/>
        <v>470.29377700565726</v>
      </c>
    </row>
    <row r="162" spans="4:7" x14ac:dyDescent="0.25">
      <c r="D162" s="2" t="s">
        <v>108</v>
      </c>
      <c r="E162" s="2">
        <v>16.8</v>
      </c>
      <c r="F162" s="6">
        <f t="shared" si="18"/>
        <v>29.761904761904759</v>
      </c>
      <c r="G162" s="25">
        <f t="shared" si="19"/>
        <v>443.87277829747427</v>
      </c>
    </row>
    <row r="163" spans="4:7" x14ac:dyDescent="0.25">
      <c r="F163" s="9"/>
    </row>
    <row r="164" spans="4:7" x14ac:dyDescent="0.25">
      <c r="D164" s="45" t="s">
        <v>110</v>
      </c>
      <c r="E164" s="45"/>
      <c r="F164" s="45"/>
      <c r="G164" s="45"/>
    </row>
    <row r="165" spans="4:7" x14ac:dyDescent="0.25">
      <c r="D165" s="2" t="s">
        <v>111</v>
      </c>
      <c r="E165" s="2">
        <v>72</v>
      </c>
      <c r="F165" s="6">
        <f>N$5/E165</f>
        <v>6.9444444444444446</v>
      </c>
      <c r="G165" s="25">
        <f>N$15/F165</f>
        <v>1902.3119069891752</v>
      </c>
    </row>
    <row r="166" spans="4:7" x14ac:dyDescent="0.25">
      <c r="D166" s="26" t="s">
        <v>177</v>
      </c>
      <c r="E166" s="26">
        <v>21</v>
      </c>
      <c r="F166" s="6">
        <f>N$5/E166</f>
        <v>23.80952380952381</v>
      </c>
      <c r="G166" s="25">
        <f>N$15/F166</f>
        <v>554.84097287184272</v>
      </c>
    </row>
    <row r="167" spans="4:7" x14ac:dyDescent="0.25">
      <c r="G167" s="15"/>
    </row>
    <row r="168" spans="4:7" x14ac:dyDescent="0.25">
      <c r="D168" s="45" t="s">
        <v>136</v>
      </c>
      <c r="E168" s="45"/>
      <c r="F168" s="45"/>
      <c r="G168" s="45"/>
    </row>
    <row r="169" spans="4:7" x14ac:dyDescent="0.25">
      <c r="D169" s="5" t="s">
        <v>1</v>
      </c>
      <c r="E169" s="5" t="s">
        <v>2</v>
      </c>
      <c r="F169" s="5" t="s">
        <v>9</v>
      </c>
      <c r="G169" s="14" t="s">
        <v>10</v>
      </c>
    </row>
    <row r="170" spans="4:7" x14ac:dyDescent="0.25">
      <c r="D170" s="2" t="s">
        <v>137</v>
      </c>
      <c r="E170" s="2">
        <v>101</v>
      </c>
      <c r="F170" s="6">
        <f t="shared" ref="F170:F180" si="20">N$5/E170</f>
        <v>4.9504950495049505</v>
      </c>
      <c r="G170" s="25">
        <f t="shared" ref="G170:G180" si="21">N$15/F170</f>
        <v>2668.5208695264819</v>
      </c>
    </row>
    <row r="171" spans="4:7" x14ac:dyDescent="0.25">
      <c r="D171" s="2" t="s">
        <v>140</v>
      </c>
      <c r="E171" s="2">
        <v>101</v>
      </c>
      <c r="F171" s="6">
        <f t="shared" si="20"/>
        <v>4.9504950495049505</v>
      </c>
      <c r="G171" s="25">
        <f t="shared" si="21"/>
        <v>2668.5208695264819</v>
      </c>
    </row>
    <row r="172" spans="4:7" x14ac:dyDescent="0.25">
      <c r="D172" s="2" t="s">
        <v>143</v>
      </c>
      <c r="E172" s="2">
        <v>101</v>
      </c>
      <c r="F172" s="6">
        <f t="shared" si="20"/>
        <v>4.9504950495049505</v>
      </c>
      <c r="G172" s="25">
        <f t="shared" si="21"/>
        <v>2668.5208695264819</v>
      </c>
    </row>
    <row r="173" spans="4:7" x14ac:dyDescent="0.25">
      <c r="D173" s="2" t="s">
        <v>146</v>
      </c>
      <c r="E173" s="2">
        <v>101</v>
      </c>
      <c r="F173" s="6">
        <f t="shared" si="20"/>
        <v>4.9504950495049505</v>
      </c>
      <c r="G173" s="25">
        <f t="shared" si="21"/>
        <v>2668.5208695264819</v>
      </c>
    </row>
    <row r="174" spans="4:7" x14ac:dyDescent="0.25">
      <c r="D174" s="2" t="s">
        <v>147</v>
      </c>
      <c r="E174" s="2">
        <v>101</v>
      </c>
      <c r="F174" s="6">
        <f t="shared" si="20"/>
        <v>4.9504950495049505</v>
      </c>
      <c r="G174" s="25">
        <f t="shared" si="21"/>
        <v>2668.5208695264819</v>
      </c>
    </row>
    <row r="175" spans="4:7" x14ac:dyDescent="0.25">
      <c r="D175" s="2" t="s">
        <v>139</v>
      </c>
      <c r="E175" s="2">
        <v>84</v>
      </c>
      <c r="F175" s="6">
        <f t="shared" si="20"/>
        <v>5.9523809523809526</v>
      </c>
      <c r="G175" s="25">
        <f t="shared" si="21"/>
        <v>2219.3638914873709</v>
      </c>
    </row>
    <row r="176" spans="4:7" x14ac:dyDescent="0.25">
      <c r="D176" s="2" t="s">
        <v>138</v>
      </c>
      <c r="E176" s="2">
        <v>16</v>
      </c>
      <c r="F176" s="6">
        <f t="shared" si="20"/>
        <v>31.25</v>
      </c>
      <c r="G176" s="25">
        <f t="shared" si="21"/>
        <v>422.73597933092782</v>
      </c>
    </row>
    <row r="177" spans="4:7" x14ac:dyDescent="0.25">
      <c r="D177" s="2" t="s">
        <v>141</v>
      </c>
      <c r="E177" s="2">
        <v>16</v>
      </c>
      <c r="F177" s="6">
        <f t="shared" si="20"/>
        <v>31.25</v>
      </c>
      <c r="G177" s="25">
        <f t="shared" si="21"/>
        <v>422.73597933092782</v>
      </c>
    </row>
    <row r="178" spans="4:7" x14ac:dyDescent="0.25">
      <c r="D178" s="2" t="s">
        <v>142</v>
      </c>
      <c r="E178" s="2">
        <v>16</v>
      </c>
      <c r="F178" s="6">
        <f t="shared" si="20"/>
        <v>31.25</v>
      </c>
      <c r="G178" s="25">
        <f t="shared" si="21"/>
        <v>422.73597933092782</v>
      </c>
    </row>
    <row r="179" spans="4:7" x14ac:dyDescent="0.25">
      <c r="D179" s="2" t="s">
        <v>144</v>
      </c>
      <c r="E179" s="2">
        <v>16</v>
      </c>
      <c r="F179" s="6">
        <f t="shared" si="20"/>
        <v>31.25</v>
      </c>
      <c r="G179" s="25">
        <f t="shared" si="21"/>
        <v>422.73597933092782</v>
      </c>
    </row>
    <row r="180" spans="4:7" x14ac:dyDescent="0.25">
      <c r="D180" s="2" t="s">
        <v>145</v>
      </c>
      <c r="E180" s="2">
        <v>16</v>
      </c>
      <c r="F180" s="6">
        <f t="shared" si="20"/>
        <v>31.25</v>
      </c>
      <c r="G180" s="25">
        <f t="shared" si="21"/>
        <v>422.73597933092782</v>
      </c>
    </row>
    <row r="181" spans="4:7" x14ac:dyDescent="0.25">
      <c r="G181" s="1"/>
    </row>
    <row r="182" spans="4:7" x14ac:dyDescent="0.25">
      <c r="D182" s="45" t="s">
        <v>148</v>
      </c>
      <c r="E182" s="45"/>
      <c r="F182" s="45"/>
      <c r="G182" s="45"/>
    </row>
    <row r="183" spans="4:7" x14ac:dyDescent="0.25">
      <c r="D183" s="5" t="s">
        <v>1</v>
      </c>
      <c r="E183" s="5" t="s">
        <v>2</v>
      </c>
      <c r="F183" s="5" t="s">
        <v>9</v>
      </c>
      <c r="G183" s="14" t="s">
        <v>10</v>
      </c>
    </row>
    <row r="184" spans="4:7" x14ac:dyDescent="0.25">
      <c r="D184" s="2" t="s">
        <v>156</v>
      </c>
      <c r="E184" s="2">
        <v>34</v>
      </c>
      <c r="F184" s="6">
        <f t="shared" ref="F184:F196" si="22">N$5/E184</f>
        <v>14.705882352941176</v>
      </c>
      <c r="G184" s="25">
        <f t="shared" ref="G184:G196" si="23">N$15/F184</f>
        <v>898.31395607822174</v>
      </c>
    </row>
    <row r="185" spans="4:7" x14ac:dyDescent="0.25">
      <c r="D185" s="2" t="s">
        <v>157</v>
      </c>
      <c r="E185" s="2">
        <v>33</v>
      </c>
      <c r="F185" s="6">
        <f t="shared" si="22"/>
        <v>15.151515151515152</v>
      </c>
      <c r="G185" s="25">
        <f t="shared" si="23"/>
        <v>871.89295737003863</v>
      </c>
    </row>
    <row r="186" spans="4:7" x14ac:dyDescent="0.25">
      <c r="D186" s="2" t="s">
        <v>151</v>
      </c>
      <c r="E186" s="2">
        <v>33</v>
      </c>
      <c r="F186" s="6">
        <f t="shared" si="22"/>
        <v>15.151515151515152</v>
      </c>
      <c r="G186" s="25">
        <f t="shared" si="23"/>
        <v>871.89295737003863</v>
      </c>
    </row>
    <row r="187" spans="4:7" x14ac:dyDescent="0.25">
      <c r="D187" s="2" t="s">
        <v>158</v>
      </c>
      <c r="E187" s="2">
        <v>33</v>
      </c>
      <c r="F187" s="6">
        <f t="shared" si="22"/>
        <v>15.151515151515152</v>
      </c>
      <c r="G187" s="25">
        <f t="shared" si="23"/>
        <v>871.89295737003863</v>
      </c>
    </row>
    <row r="188" spans="4:7" x14ac:dyDescent="0.25">
      <c r="D188" s="2" t="s">
        <v>153</v>
      </c>
      <c r="E188" s="2">
        <v>33</v>
      </c>
      <c r="F188" s="6">
        <f t="shared" si="22"/>
        <v>15.151515151515152</v>
      </c>
      <c r="G188" s="25">
        <f t="shared" si="23"/>
        <v>871.89295737003863</v>
      </c>
    </row>
    <row r="189" spans="4:7" x14ac:dyDescent="0.25">
      <c r="D189" s="2" t="s">
        <v>160</v>
      </c>
      <c r="E189" s="2">
        <v>33</v>
      </c>
      <c r="F189" s="6">
        <f t="shared" si="22"/>
        <v>15.151515151515152</v>
      </c>
      <c r="G189" s="25">
        <f t="shared" si="23"/>
        <v>871.89295737003863</v>
      </c>
    </row>
    <row r="190" spans="4:7" x14ac:dyDescent="0.25">
      <c r="D190" s="2" t="s">
        <v>161</v>
      </c>
      <c r="E190" s="2">
        <v>29</v>
      </c>
      <c r="F190" s="6">
        <f t="shared" si="22"/>
        <v>17.241379310344829</v>
      </c>
      <c r="G190" s="25">
        <f t="shared" si="23"/>
        <v>766.20896253730666</v>
      </c>
    </row>
    <row r="191" spans="4:7" x14ac:dyDescent="0.25">
      <c r="D191" s="2" t="s">
        <v>149</v>
      </c>
      <c r="E191" s="2">
        <v>5</v>
      </c>
      <c r="F191" s="6">
        <f t="shared" si="22"/>
        <v>100</v>
      </c>
      <c r="G191" s="25">
        <f t="shared" si="23"/>
        <v>132.10499354091496</v>
      </c>
    </row>
    <row r="192" spans="4:7" x14ac:dyDescent="0.25">
      <c r="D192" s="2" t="s">
        <v>150</v>
      </c>
      <c r="E192" s="2">
        <v>5</v>
      </c>
      <c r="F192" s="6">
        <f t="shared" si="22"/>
        <v>100</v>
      </c>
      <c r="G192" s="25">
        <f t="shared" si="23"/>
        <v>132.10499354091496</v>
      </c>
    </row>
    <row r="193" spans="4:7" x14ac:dyDescent="0.25">
      <c r="D193" s="2" t="s">
        <v>152</v>
      </c>
      <c r="E193" s="2">
        <v>5</v>
      </c>
      <c r="F193" s="6">
        <f t="shared" si="22"/>
        <v>100</v>
      </c>
      <c r="G193" s="25">
        <f t="shared" si="23"/>
        <v>132.10499354091496</v>
      </c>
    </row>
    <row r="194" spans="4:7" x14ac:dyDescent="0.25">
      <c r="D194" s="2" t="s">
        <v>159</v>
      </c>
      <c r="E194" s="2">
        <v>5</v>
      </c>
      <c r="F194" s="6">
        <f t="shared" si="22"/>
        <v>100</v>
      </c>
      <c r="G194" s="25">
        <f t="shared" si="23"/>
        <v>132.10499354091496</v>
      </c>
    </row>
    <row r="195" spans="4:7" x14ac:dyDescent="0.25">
      <c r="D195" s="2" t="s">
        <v>154</v>
      </c>
      <c r="E195" s="2">
        <v>5</v>
      </c>
      <c r="F195" s="6">
        <f t="shared" si="22"/>
        <v>100</v>
      </c>
      <c r="G195" s="25">
        <f t="shared" si="23"/>
        <v>132.10499354091496</v>
      </c>
    </row>
    <row r="196" spans="4:7" x14ac:dyDescent="0.25">
      <c r="D196" s="2" t="s">
        <v>155</v>
      </c>
      <c r="E196" s="2">
        <v>5</v>
      </c>
      <c r="F196" s="6">
        <f t="shared" si="22"/>
        <v>100</v>
      </c>
      <c r="G196" s="25">
        <f t="shared" si="23"/>
        <v>132.10499354091496</v>
      </c>
    </row>
    <row r="197" spans="4:7" x14ac:dyDescent="0.25">
      <c r="G197" s="1"/>
    </row>
    <row r="198" spans="4:7" x14ac:dyDescent="0.25">
      <c r="D198" s="45" t="s">
        <v>15</v>
      </c>
      <c r="E198" s="45"/>
      <c r="F198" s="45"/>
      <c r="G198" s="45"/>
    </row>
    <row r="199" spans="4:7" x14ac:dyDescent="0.25">
      <c r="D199" s="5" t="s">
        <v>1</v>
      </c>
      <c r="E199" s="5" t="s">
        <v>2</v>
      </c>
      <c r="F199" s="5" t="s">
        <v>9</v>
      </c>
      <c r="G199" s="14" t="s">
        <v>10</v>
      </c>
    </row>
    <row r="200" spans="4:7" x14ac:dyDescent="0.25">
      <c r="D200" s="2" t="s">
        <v>19</v>
      </c>
      <c r="E200" s="2">
        <v>45</v>
      </c>
      <c r="F200" s="6">
        <f>N$5/E200</f>
        <v>11.111111111111111</v>
      </c>
      <c r="G200" s="25">
        <f>N$15/F200</f>
        <v>1188.9449418682345</v>
      </c>
    </row>
    <row r="201" spans="4:7" x14ac:dyDescent="0.25">
      <c r="D201" s="2" t="s">
        <v>16</v>
      </c>
      <c r="E201" s="2">
        <v>130</v>
      </c>
      <c r="F201" s="6">
        <f>N$5/E201</f>
        <v>3.8461538461538463</v>
      </c>
      <c r="G201" s="25">
        <f>N$15/F201</f>
        <v>3434.7298320637888</v>
      </c>
    </row>
    <row r="202" spans="4:7" x14ac:dyDescent="0.25">
      <c r="D202" s="2" t="s">
        <v>17</v>
      </c>
      <c r="E202" s="2">
        <v>405</v>
      </c>
      <c r="F202" s="6">
        <f>N$5/E202</f>
        <v>1.2345679012345678</v>
      </c>
      <c r="G202" s="25">
        <f>N$15/F202</f>
        <v>10700.504476814111</v>
      </c>
    </row>
    <row r="203" spans="4:7" x14ac:dyDescent="0.25">
      <c r="D203" s="2" t="s">
        <v>18</v>
      </c>
      <c r="E203" s="2">
        <v>500</v>
      </c>
      <c r="F203" s="6">
        <f>N$5/E203</f>
        <v>1</v>
      </c>
      <c r="G203" s="25">
        <f>N$15/F203</f>
        <v>13210.499354091495</v>
      </c>
    </row>
    <row r="204" spans="4:7" x14ac:dyDescent="0.25">
      <c r="F204" s="9"/>
    </row>
    <row r="205" spans="4:7" x14ac:dyDescent="0.25">
      <c r="D205" s="45" t="s">
        <v>175</v>
      </c>
      <c r="E205" s="45"/>
      <c r="F205" s="45"/>
      <c r="G205" s="45"/>
    </row>
  </sheetData>
  <mergeCells count="23">
    <mergeCell ref="D205:G205"/>
    <mergeCell ref="D151:G151"/>
    <mergeCell ref="D155:G155"/>
    <mergeCell ref="D164:G164"/>
    <mergeCell ref="D168:G168"/>
    <mergeCell ref="D182:G182"/>
    <mergeCell ref="D198:G198"/>
    <mergeCell ref="D135:G135"/>
    <mergeCell ref="D4:G4"/>
    <mergeCell ref="O8:O11"/>
    <mergeCell ref="D11:G11"/>
    <mergeCell ref="D19:G19"/>
    <mergeCell ref="D27:G27"/>
    <mergeCell ref="D36:G36"/>
    <mergeCell ref="D44:G44"/>
    <mergeCell ref="D52:G52"/>
    <mergeCell ref="D61:G61"/>
    <mergeCell ref="D71:G71"/>
    <mergeCell ref="D80:G80"/>
    <mergeCell ref="D82:G82"/>
    <mergeCell ref="D95:G95"/>
    <mergeCell ref="D108:G108"/>
    <mergeCell ref="D121:G1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all</vt:lpstr>
      <vt:lpstr>Kanigloups</vt:lpstr>
      <vt:lpstr>Kokulte</vt:lpstr>
      <vt:lpstr>Blérodoudou</vt:lpstr>
      <vt:lpstr>Sakochere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ACHAT</dc:creator>
  <cp:lastModifiedBy>Lucas bailly</cp:lastModifiedBy>
  <dcterms:created xsi:type="dcterms:W3CDTF">2025-06-18T14:23:15Z</dcterms:created>
  <dcterms:modified xsi:type="dcterms:W3CDTF">2026-02-03T22:46:44Z</dcterms:modified>
</cp:coreProperties>
</file>